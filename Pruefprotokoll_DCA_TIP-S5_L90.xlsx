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kblatt" sheetId="1" r:id="rId1"/>
    <sheet name="Prüfprotokoll" sheetId="2" r:id="rId2"/>
    <sheet name="Ergebnis" sheetId="3" r:id="rId3"/>
  </sheets>
  <definedNames>
    <definedName name="_xlnm._FilterDatabase" localSheetId="1" hidden="1">Prüfprotokoll!$A$4:$J$53</definedName>
    <definedName name="_xlnm.Print_Titles" localSheetId="1">Prüfprotokoll!$4:$4</definedName>
  </definedNames>
  <calcPr calcId="124519" fullCalcOnLoad="1"/>
</workbook>
</file>

<file path=xl/sharedStrings.xml><?xml version="1.0" encoding="utf-8"?>
<sst xmlns="http://schemas.openxmlformats.org/spreadsheetml/2006/main" count="232" uniqueCount="182">
  <si>
    <t>Prüfprotokoll DCA – TIP S5 – Software DCA und Prüfanleitung</t>
  </si>
  <si>
    <t>ESTW L90 · DB InfraGO · Prüfgrundlagen: TIP S5 (Template-Ausg. 01), Schulungsunterlage Softwareprüfung ESTW L90 · Projektdaten und Anleitung: Blatt „Deckblatt“</t>
  </si>
  <si>
    <t>Nr.</t>
  </si>
  <si>
    <t>Herkunft</t>
  </si>
  <si>
    <t>TIP-Nr. / PA</t>
  </si>
  <si>
    <t>Prüffrage</t>
  </si>
  <si>
    <t>Bezug (Link)</t>
  </si>
  <si>
    <t>i. O.</t>
  </si>
  <si>
    <t>n. i. O.</t>
  </si>
  <si>
    <t>n. z.</t>
  </si>
  <si>
    <t>Status</t>
  </si>
  <si>
    <t>Bemerkung / Prüfbuch-Nr.</t>
  </si>
  <si>
    <t>2  Versionen und Konsistenz</t>
  </si>
  <si>
    <t>TIP S5 – Versionen und Konsistenz</t>
  </si>
  <si>
    <t>TIP S5</t>
  </si>
  <si>
    <t>Nr. 1</t>
  </si>
  <si>
    <t>Wurde die richtige Version der CDE-Files gemäß der für das Projekt gültigen VDD projektiert?</t>
  </si>
  <si>
    <t>↓ PA 1 (+1)</t>
  </si>
  <si>
    <t>Nr. 2</t>
  </si>
  <si>
    <t>Wurde die richtige Version der EDS-Files gemäß der für das Projekt gültigen VDD projektiert?</t>
  </si>
  <si>
    <t>Nr. 3</t>
  </si>
  <si>
    <t>Entspricht die Projektierungsversion aller CAE_data.xml den zugehörigen Teilsystemübersichten? Sind die verwendeten Projektierungsversionen für alle CAE_data.xml gleich und passend zur Projektierungsversion des Stellwerks bzw. ist jede Abweichung für Baustufen aufgrund unveränderter Daten für die jeweilige CAE_data.xml beabsichtigt und korrekt?</t>
  </si>
  <si>
    <t>↓ PA 4 (+1)</t>
  </si>
  <si>
    <t>Nr. 13</t>
  </si>
  <si>
    <t>Da ein Teil der Prüfung durch den Vergleich mit der Stellwerksprojektierung (mittels DSTI-Datei) realisiert wird: Wurde sichergestellt, dass die herangezogene Projektierungsversion des Stellwerks (und der DSTI-Datei) alle Elemente (Signale, Weichen, Gleissperren und Schlüsselsperren) gemäß Planunterlagen enthält und alle Signalbegriffe den Planungsunterlagen entsprechen? Wurden nachträglich Änderungen vorgenommen, muss die RDDV-Prüfung wiederholt werden!</t>
  </si>
  <si>
    <t>↓ PA 6 (+1)</t>
  </si>
  <si>
    <t>Prüfanleitung – Versionen</t>
  </si>
  <si>
    <t>PA</t>
  </si>
  <si>
    <t>PA 1</t>
  </si>
  <si>
    <t>VDD: Ist die für das Projekt gültige VDD (Ausgabe/Datum) im Prüfbuch bzw. Manteldokument dokumentiert?</t>
  </si>
  <si>
    <t>↑ S5 Nr. 1, 2</t>
  </si>
  <si>
    <t>PA 2</t>
  </si>
  <si>
    <t>VDD: Wurde für jedes CDE-File die projektierte Version gegen die VDD abgehakt?</t>
  </si>
  <si>
    <t>↑ S5 Nr. 1</t>
  </si>
  <si>
    <t>PA 3</t>
  </si>
  <si>
    <t>VDD: Wurde für jedes EDS-File die projektierte Version gegen die VDD abgehakt?</t>
  </si>
  <si>
    <t>↑ S5 Nr. 2</t>
  </si>
  <si>
    <t>PA 4</t>
  </si>
  <si>
    <t>CAE_data.xml: Liegt eine Liste aller CAE_data.xml mit Projektierungsversion vor, abgeglichen mit den Teilsystemübersichten?</t>
  </si>
  <si>
    <t>↑ S5 Nr. 3</t>
  </si>
  <si>
    <t>PA 5</t>
  </si>
  <si>
    <t>CAE_data.xml: Ist jede abweichende Projektierungsversion (Baustufe mit unveränderten Daten) begründet dokumentiert?</t>
  </si>
  <si>
    <t>PA 6</t>
  </si>
  <si>
    <t>DSTI: Entspricht die Version der DSTI-Datei der geprüften Stellwerksprojektierung laut FB034?</t>
  </si>
  <si>
    <t>↑ S5 Nr. 13</t>
  </si>
  <si>
    <t>PA 7</t>
  </si>
  <si>
    <t>DSTI: Wurde nach jeder nachträglichen Änderung an Stellwerksprojektierung oder DSTI-Datei die RDDV-Prüfung wiederholt?</t>
  </si>
  <si>
    <t>3  Signale</t>
  </si>
  <si>
    <t>TIP S5 – Signale</t>
  </si>
  <si>
    <t>Nr. 4</t>
  </si>
  <si>
    <t>Wurde geprüft, dass nicht überwachte Zs2/Zs2v konkret vom Betrieb gefordert wurden? Andernfalls sollen Zs2/Zs2v immer überwacht sein.</t>
  </si>
  <si>
    <t>↓ PA 8</t>
  </si>
  <si>
    <t>Nr. 5</t>
  </si>
  <si>
    <t>Wurde die Projektierung der Leuchtstärke für alle Signale gemäß [LS-LSE-GEN-9] gegen den Standort (im Tunnel / außerhalb) geprüft?</t>
  </si>
  <si>
    <t>↓ PA 9</t>
  </si>
  <si>
    <t>Prüfanleitung – Signale</t>
  </si>
  <si>
    <t>PA 8</t>
  </si>
  <si>
    <t>Zs2/Zs2v: Ist für jeden nicht überwachten Zs2/Zs2v die betriebliche Forderung mit Fundstelle (PT1) vermerkt?</t>
  </si>
  <si>
    <t>↑ S5 Nr. 4</t>
  </si>
  <si>
    <t>PA 9</t>
  </si>
  <si>
    <t>Leuchtstärke: Wurden alle Signale im Tunnel anhand der Planung identifiziert und die Leuchtstärke je Signal (Tunnel / außerhalb) abgehakt?</t>
  </si>
  <si>
    <t>↑ S5 Nr. 5</t>
  </si>
  <si>
    <t>4  PZB</t>
  </si>
  <si>
    <t>TIP S5 – PZB</t>
  </si>
  <si>
    <t>Nr. 6</t>
  </si>
  <si>
    <t>Wurde die manuelle Prüfung der PZB-Magnete durchgeführt? Wurden alle PZB-Magneten und Geschwindigkeitsprüfabschnitte entsprechend Planungsunterlage projektiert?</t>
  </si>
  <si>
    <t>↓ PA 10 (+1)</t>
  </si>
  <si>
    <t>Nr. 7</t>
  </si>
  <si>
    <t>Wurden entsprechend der Planungsunterlage geforderte fahrwegabhängige PZB-Magneten und GPE gemäß [LS-GEN-CXO-9] geprüft? Wurde die Konsistenz manuell zur ESTW-ZE-Projektierung geprüft (siehe Dateien K#.MAC)?</t>
  </si>
  <si>
    <t>↓ PA 11 (+1)</t>
  </si>
  <si>
    <t>Prüfanleitung – PZB</t>
  </si>
  <si>
    <t>PA 10</t>
  </si>
  <si>
    <t>PZB: Wurde jeder PZB-Magnet (Frequenz, Zuordnung zum Signal) gegen die Planungsunterlage einzeln abgehakt?</t>
  </si>
  <si>
    <t>↑ S5 Nr. 6</t>
  </si>
  <si>
    <t>PA 11</t>
  </si>
  <si>
    <t>PZB: Wurde jeder Geschwindigkeitsprüfabschnitt (GPE) gegen die Planungsunterlage abgehakt?</t>
  </si>
  <si>
    <t>↑ S5 Nr. 6, 7</t>
  </si>
  <si>
    <t>PA 12</t>
  </si>
  <si>
    <t>PZB: Wurden fahrwegabhängige Magneten/GPE mit den Dateien K#.MAC der ESTW-ZE-Projektierung abgeglichen?</t>
  </si>
  <si>
    <t>↑ S5 Nr. 7</t>
  </si>
  <si>
    <t>5  Weichen und Schlüsselsperren</t>
  </si>
  <si>
    <t>TIP S5 – Weichen und Schlüsselsperren</t>
  </si>
  <si>
    <t>Nr. 9</t>
  </si>
  <si>
    <t>Stimmen die Anzahl und der Typ der Weichenantriebe mit der Ausführungsplanung Hardware überein?</t>
  </si>
  <si>
    <t>↓ PA 13</t>
  </si>
  <si>
    <t>Nr. 10</t>
  </si>
  <si>
    <t>Stimmen die Bauformen der Schlüsselsperren?</t>
  </si>
  <si>
    <t>↓ PA 14</t>
  </si>
  <si>
    <t>Prüfanleitung – Weichen und Schlüsselsperren</t>
  </si>
  <si>
    <t>PA 13</t>
  </si>
  <si>
    <t>Weichenantriebe: Wurden Anzahl und Typ der Antriebe je Weiche gegen die HW-Ausführungsplanung einzeln abgehakt?</t>
  </si>
  <si>
    <t>↑ S5 Nr. 9</t>
  </si>
  <si>
    <t>PA 14</t>
  </si>
  <si>
    <t>Schlüsselsperren: Wurde die Bauform jeder Schlüsselsperre gegen die Planung abgehakt?</t>
  </si>
  <si>
    <t>↑ S5 Nr. 10</t>
  </si>
  <si>
    <t>6  Toolprüfung (RDDV, RENT)</t>
  </si>
  <si>
    <t>TIP S5 – Toolprüfung</t>
  </si>
  <si>
    <t>Nr. 8</t>
  </si>
  <si>
    <t>Wurde bei Ausgabe eines Fehlers für Regel [DBX-DCA-EXT-LS-25-W] eine manuelle Einzelprüfung der Ausgänge in der betreffenden CAE_data.xml durchgeführt?</t>
  </si>
  <si>
    <t>↓ PA 15</t>
  </si>
  <si>
    <t>Nr. 11</t>
  </si>
  <si>
    <t>Wurden alle Warnungen manuell nachgeprüft und die Fälle als korrekt projektiert bestätigt?</t>
  </si>
  <si>
    <t>↓ PA 16</t>
  </si>
  <si>
    <t>Nr. 12</t>
  </si>
  <si>
    <t>Wurde geprüft, dass alle Prüfregeln der Prüfvorschriften und der DBx-Regeln durch das RDDV-Tool geprüft wurden (Prüfstatus muss „Erfolgreich“ oder „Nicht anwendbar“ sein) und keine Fehler aufgetreten sind?</t>
  </si>
  <si>
    <t>↓ PA 17</t>
  </si>
  <si>
    <t>Nr. 14</t>
  </si>
  <si>
    <t>Wurde der RDDV-Report inklusive der Begründungen bei akzeptierten Regelverletzungen der Prüfdokumentation hinzugefügt?</t>
  </si>
  <si>
    <t>↓ PA 18</t>
  </si>
  <si>
    <t>Nr. 15</t>
  </si>
  <si>
    <t>Wurden die Daten vom RENT geprüft? Wurde durch das Tool kein Fehler gefunden bzw. wurden alle Fehler/Warnungen bewertet und als unkritisch eingestuft?</t>
  </si>
  <si>
    <t>↓ PA 19</t>
  </si>
  <si>
    <t>Prüfanleitung – Toolreports</t>
  </si>
  <si>
    <t>PA 15</t>
  </si>
  <si>
    <t>RDDV: Regel [DBX-DCA-EXT-LS-25-W]: Sind die betroffenen Ausgänge je CAE_data.xml einzeln geprüft und das Ergebnis dokumentiert?</t>
  </si>
  <si>
    <t>↑ S5 Nr. 8</t>
  </si>
  <si>
    <t>PA 16</t>
  </si>
  <si>
    <t>RDDV: Ist jede Warnung mit Begründung „korrekt projektiert“ im Report bzw. Prüfbuch vermerkt?</t>
  </si>
  <si>
    <t>↑ S5 Nr. 11</t>
  </si>
  <si>
    <t>PA 17</t>
  </si>
  <si>
    <t>RDDV: Wurde der Prüfstatus jeder Regel kontrolliert (nur „Erfolgreich“ / „Nicht anwendbar“, keine Fehler)?</t>
  </si>
  <si>
    <t>↑ S5 Nr. 12</t>
  </si>
  <si>
    <t>PA 18</t>
  </si>
  <si>
    <t>RDDV: Ist der RDDV-Report (Version, Datum) mit Begründungen in der elektronischen Ablage gespeichert und im Manteldokument referenziert?</t>
  </si>
  <si>
    <t>↑ S5 Nr. 14</t>
  </si>
  <si>
    <t>PA 19</t>
  </si>
  <si>
    <t>RENT: Ist der RENT-Report abgelegt und jede Meldung einzeln bewertet?</t>
  </si>
  <si>
    <t>↑ S5 Nr. 15</t>
  </si>
  <si>
    <t>Hitachi Rail</t>
  </si>
  <si>
    <t>Interne Abnahmeprüfung (FFT) · ITC</t>
  </si>
  <si>
    <t>Prüfprotokoll DCA</t>
  </si>
  <si>
    <t>TIP S5 – Software DCA und Prüfanleitung</t>
  </si>
  <si>
    <t>ESTW L90 · Domestic · DB InfraGO</t>
  </si>
  <si>
    <t>Projektdaten (gelbe Felder ausfüllen)</t>
  </si>
  <si>
    <t>Projektbezeichnung / PSP</t>
  </si>
  <si>
    <t>Stellwerk (UZ / ESTW-Z, Ril100)</t>
  </si>
  <si>
    <t>Bauzustand / AZ-Nr.</t>
  </si>
  <si>
    <t>Systemversionen (LBS, MEM, SM, EAM, AzLM)</t>
  </si>
  <si>
    <t>PT1-Stand laut PBL</t>
  </si>
  <si>
    <t>Neuanlage / Bauzustand (Differenz)</t>
  </si>
  <si>
    <t>Prüfer</t>
  </si>
  <si>
    <t>Datum</t>
  </si>
  <si>
    <t>Herkunft der Fragen</t>
  </si>
  <si>
    <t>Frage aus dem TIP S5 – Software DCA. Zeile hellorange. Formal verbindlich; Ergebnis 1:1 ins TIP übertragen.</t>
  </si>
  <si>
    <t>Prüfanleitung: Einzelschritt (PT1-Tabelle, Prüfdokument, Simulation), mit dem eine TIP-Frage nachgewiesen wird. Aus der Schulungsunterlage, teils auf Basis historischer Arbeitsnotizen – vor Nutzung mit aktuellem Stand abgleichen.</t>
  </si>
  <si>
    <t>Bewertung</t>
  </si>
  <si>
    <t>i. O. – in Ordnung</t>
  </si>
  <si>
    <t>TIP: Ja</t>
  </si>
  <si>
    <t>Entspricht der Vorgabe (PT1, Prüfdokument, Planung).</t>
  </si>
  <si>
    <t>n. i. O. – nicht in Ordnung</t>
  </si>
  <si>
    <t>TIP: Nein</t>
  </si>
  <si>
    <t>Abweichung im Prüfbuch erfassen, Prüfbuch-Nr. in „Bemerkung“.</t>
  </si>
  <si>
    <t>n. z. – nicht zutreffend</t>
  </si>
  <si>
    <t>TIP: als n. z. kennzeichnen</t>
  </si>
  <si>
    <t>Sachverhalt kommt nicht vor; kurz begründen.</t>
  </si>
  <si>
    <t>Bedienung der Excel-Datei</t>
  </si>
  <si>
    <t>•  Je Zeile genau ein Kästchen anhaken. „Status“ zeigt offen / erledigt / n. i. O. / mehrfach!.</t>
  </si>
  <si>
    <t>•  Eine TIP-Frage erst mit i. O. bewerten, wenn alle zugehörigen PA-Schritte i. O. oder n. z. sind.</t>
  </si>
  <si>
    <t>•  Spalte „Bezug (Link)“: TIP-Frage → erster zugehöriger PA-Schritt („+n“ = weitere); PA-Schritt → TIP-Frage. ↑ = weiter oben, ↓ = weiter unten.</t>
  </si>
  <si>
    <t>•  Filter in Spalte „Herkunft“: nur TIP- oder nur PA-Zeilen anzeigen.</t>
  </si>
  <si>
    <t>•  Nachweis der PT1-Prüfung bleibt das Abhaken im PT1 (TIP-Manteldokument, Anhang A.1).</t>
  </si>
  <si>
    <t>•  Kästchen = Zellkontrollkästchen (Microsoft 365). Ältere Excel-Versionen zeigen WAHR/FALSCH; Wert dann per Eingabe ändern.</t>
  </si>
  <si>
    <t>Ergebnis – Prüfprotokoll DCA</t>
  </si>
  <si>
    <t>Abschnitt</t>
  </si>
  <si>
    <t>offen</t>
  </si>
  <si>
    <t>mehrfach</t>
  </si>
  <si>
    <t>Summe</t>
  </si>
  <si>
    <t>Davon TIP S5 – n. i. O.</t>
  </si>
  <si>
    <t>Davon PA – n. i. O.</t>
  </si>
  <si>
    <t>Gesamtergebnis</t>
  </si>
  <si>
    <t>TIP S5 – Software DCA – alle Prüfschritte durchgeführt</t>
  </si>
  <si>
    <t>Übertrag der Abweichungen ins Prüfbuch</t>
  </si>
  <si>
    <t>Kurzbeschreibung</t>
  </si>
  <si>
    <t>Frage-Nr.</t>
  </si>
  <si>
    <t>Prüfbuch-Nr.</t>
  </si>
  <si>
    <t>Element</t>
  </si>
  <si>
    <t>Erledigt</t>
  </si>
  <si>
    <t>Unterschriften</t>
  </si>
  <si>
    <t>Freigebender</t>
  </si>
  <si>
    <t>Name (Druckbuchstaben)</t>
  </si>
  <si>
    <t>Firma (falls extern)</t>
  </si>
  <si>
    <t>Unterschrift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</si>
</sst>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2"/>
      <color rgb="FF2E75B6"/>
      <name val="Arial"/>
      <family val="2"/>
    </font>
    <font>
      <sz val="9"/>
      <color rgb="FF595959"/>
      <name val="Arial"/>
      <family val="2"/>
    </font>
    <font>
      <b/>
      <sz val="20"/>
      <color rgb="FF1F3864"/>
      <name val="Arial"/>
      <family val="2"/>
    </font>
    <font>
      <sz val="11"/>
      <color rgb="FF2E75B6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rgb="FF1F3864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u/>
      <sz val="9"/>
      <color rgb="FF0563C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DF1E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9" fillId="8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6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3">
    <dxf>
      <font>
        <b/>
        <color rgb="FF375623"/>
      </font>
      <fill>
        <patternFill>
          <bgColor rgb="FFE2EFDA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D34"/>
  <sheetViews>
    <sheetView tabSelected="1" workbookViewId="0"/>
  </sheetViews>
  <sheetFormatPr defaultRowHeight="15"/>
  <cols>
    <col min="1" max="1" width="3.7109375" customWidth="1"/>
    <col min="2" max="2" width="34.7109375" customWidth="1"/>
    <col min="3" max="3" width="22.7109375" customWidth="1"/>
    <col min="4" max="4" width="70.7109375" customWidth="1"/>
  </cols>
  <sheetData>
    <row r="2" spans="2:4">
      <c r="B2" s="1" t="s">
        <v>128</v>
      </c>
    </row>
    <row r="3" spans="2:4">
      <c r="B3" s="2" t="s">
        <v>129</v>
      </c>
    </row>
    <row r="5" spans="2:4">
      <c r="B5" s="3" t="s">
        <v>130</v>
      </c>
    </row>
    <row r="6" spans="2:4">
      <c r="B6" s="4" t="s">
        <v>131</v>
      </c>
    </row>
    <row r="7" spans="2:4">
      <c r="B7" s="2" t="s">
        <v>132</v>
      </c>
    </row>
    <row r="9" spans="2:4">
      <c r="B9" s="5" t="s">
        <v>133</v>
      </c>
      <c r="C9" s="5"/>
      <c r="D9" s="5"/>
    </row>
    <row r="10" spans="2:4">
      <c r="B10" s="6" t="s">
        <v>134</v>
      </c>
      <c r="C10" s="7"/>
      <c r="D10" s="7"/>
    </row>
    <row r="11" spans="2:4">
      <c r="B11" s="6" t="s">
        <v>135</v>
      </c>
      <c r="C11" s="7"/>
      <c r="D11" s="7"/>
    </row>
    <row r="12" spans="2:4">
      <c r="B12" s="6" t="s">
        <v>136</v>
      </c>
      <c r="C12" s="7"/>
      <c r="D12" s="7"/>
    </row>
    <row r="13" spans="2:4">
      <c r="B13" s="6" t="s">
        <v>137</v>
      </c>
      <c r="C13" s="7"/>
      <c r="D13" s="7"/>
    </row>
    <row r="14" spans="2:4">
      <c r="B14" s="6" t="s">
        <v>138</v>
      </c>
      <c r="C14" s="7"/>
      <c r="D14" s="7"/>
    </row>
    <row r="15" spans="2:4">
      <c r="B15" s="6" t="s">
        <v>139</v>
      </c>
      <c r="C15" s="7"/>
      <c r="D15" s="7"/>
    </row>
    <row r="16" spans="2:4">
      <c r="B16" s="6" t="s">
        <v>140</v>
      </c>
      <c r="C16" s="7"/>
      <c r="D16" s="7"/>
    </row>
    <row r="17" spans="2:4">
      <c r="B17" s="6" t="s">
        <v>141</v>
      </c>
      <c r="C17" s="7"/>
      <c r="D17" s="7"/>
    </row>
    <row r="19" spans="2:4">
      <c r="B19" s="5" t="s">
        <v>142</v>
      </c>
      <c r="C19" s="5"/>
      <c r="D19" s="5"/>
    </row>
    <row r="20" spans="2:4" ht="26" customHeight="1">
      <c r="B20" s="8" t="s">
        <v>14</v>
      </c>
      <c r="C20" s="9" t="s">
        <v>143</v>
      </c>
      <c r="D20" s="9"/>
    </row>
    <row r="21" spans="2:4" ht="38" customHeight="1">
      <c r="B21" s="10" t="s">
        <v>27</v>
      </c>
      <c r="C21" s="11" t="s">
        <v>144</v>
      </c>
      <c r="D21" s="11"/>
    </row>
    <row r="23" spans="2:4">
      <c r="B23" s="5" t="s">
        <v>145</v>
      </c>
      <c r="C23" s="5"/>
      <c r="D23" s="5"/>
    </row>
    <row r="24" spans="2:4">
      <c r="B24" s="6" t="s">
        <v>146</v>
      </c>
      <c r="C24" s="11" t="s">
        <v>147</v>
      </c>
      <c r="D24" s="11" t="s">
        <v>148</v>
      </c>
    </row>
    <row r="25" spans="2:4">
      <c r="B25" s="6" t="s">
        <v>149</v>
      </c>
      <c r="C25" s="11" t="s">
        <v>150</v>
      </c>
      <c r="D25" s="11" t="s">
        <v>151</v>
      </c>
    </row>
    <row r="26" spans="2:4">
      <c r="B26" s="6" t="s">
        <v>152</v>
      </c>
      <c r="C26" s="11" t="s">
        <v>153</v>
      </c>
      <c r="D26" s="11" t="s">
        <v>154</v>
      </c>
    </row>
    <row r="28" spans="2:4">
      <c r="B28" s="5" t="s">
        <v>155</v>
      </c>
      <c r="C28" s="5"/>
      <c r="D28" s="5"/>
    </row>
    <row r="29" spans="2:4" ht="26" customHeight="1">
      <c r="B29" s="11" t="s">
        <v>156</v>
      </c>
      <c r="C29" s="11"/>
      <c r="D29" s="11"/>
    </row>
    <row r="30" spans="2:4" ht="26" customHeight="1">
      <c r="B30" s="11" t="s">
        <v>157</v>
      </c>
      <c r="C30" s="11"/>
      <c r="D30" s="11"/>
    </row>
    <row r="31" spans="2:4" ht="26" customHeight="1">
      <c r="B31" s="11" t="s">
        <v>158</v>
      </c>
      <c r="C31" s="11"/>
      <c r="D31" s="11"/>
    </row>
    <row r="32" spans="2:4" ht="26" customHeight="1">
      <c r="B32" s="11" t="s">
        <v>159</v>
      </c>
      <c r="C32" s="11"/>
      <c r="D32" s="11"/>
    </row>
    <row r="33" spans="2:4" ht="26" customHeight="1">
      <c r="B33" s="11" t="s">
        <v>160</v>
      </c>
      <c r="C33" s="11"/>
      <c r="D33" s="11"/>
    </row>
    <row r="34" spans="2:4" ht="26" customHeight="1">
      <c r="B34" s="11" t="s">
        <v>161</v>
      </c>
      <c r="C34" s="11"/>
      <c r="D34" s="11"/>
    </row>
  </sheetData>
  <mergeCells count="20">
    <mergeCell ref="B9:D9"/>
    <mergeCell ref="C10:D10"/>
    <mergeCell ref="C11:D11"/>
    <mergeCell ref="C12:D12"/>
    <mergeCell ref="C13:D13"/>
    <mergeCell ref="C14:D14"/>
    <mergeCell ref="C15:D15"/>
    <mergeCell ref="C16:D16"/>
    <mergeCell ref="C17:D17"/>
    <mergeCell ref="B19:D19"/>
    <mergeCell ref="C20:D20"/>
    <mergeCell ref="C21:D21"/>
    <mergeCell ref="B23:D23"/>
    <mergeCell ref="B28:D28"/>
    <mergeCell ref="B29:D29"/>
    <mergeCell ref="B30:D30"/>
    <mergeCell ref="B31:D31"/>
    <mergeCell ref="B32:D32"/>
    <mergeCell ref="B33:D33"/>
    <mergeCell ref="B34:D34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9.7109375" customWidth="1"/>
    <col min="3" max="3" width="10.7109375" customWidth="1"/>
    <col min="4" max="4" width="70.7109375" customWidth="1"/>
    <col min="5" max="5" width="15.7109375" customWidth="1"/>
    <col min="6" max="8" width="7.28515625" customWidth="1"/>
    <col min="9" max="9" width="11.7109375" customWidth="1"/>
    <col min="10" max="10" width="34.7109375" customWidth="1"/>
  </cols>
  <sheetData>
    <row r="1" spans="1:10">
      <c r="A1" s="12" t="s">
        <v>0</v>
      </c>
    </row>
    <row r="2" spans="1:10">
      <c r="A2" s="2" t="s">
        <v>1</v>
      </c>
    </row>
    <row r="4" spans="1:10" ht="3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20" customHeight="1">
      <c r="A5" s="13" t="s">
        <v>12</v>
      </c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4" t="s">
        <v>13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ht="15.5" customHeight="1">
      <c r="A7" s="15">
        <v>1</v>
      </c>
      <c r="B7" s="8" t="s">
        <v>14</v>
      </c>
      <c r="C7" s="15" t="s">
        <v>15</v>
      </c>
      <c r="D7" s="9" t="s">
        <v>16</v>
      </c>
      <c r="E7" s="16" t="s">
        <v>17</v>
      </c>
      <c r="F7" s="17" t="b">
        <v>0</v>
      </c>
      <c r="G7" s="17" t="b">
        <v>0</v>
      </c>
      <c r="H7" s="17" t="b">
        <v>0</v>
      </c>
      <c r="I7" s="18" t="str">
        <f>IF(COUNTIF(F7:H7,TRUE)=0,"offen",IF(COUNTIF(F7:H7,TRUE)&gt;1,"mehrfach!",IF(G7=TRUE,"n. i. O.","erledigt")))</f>
        <v>offen</v>
      </c>
      <c r="J7" s="9"/>
    </row>
    <row r="8" spans="1:10" ht="15.5" customHeight="1">
      <c r="A8" s="15">
        <v>2</v>
      </c>
      <c r="B8" s="8" t="s">
        <v>14</v>
      </c>
      <c r="C8" s="15" t="s">
        <v>18</v>
      </c>
      <c r="D8" s="9" t="s">
        <v>19</v>
      </c>
      <c r="E8" s="16" t="s">
        <v>17</v>
      </c>
      <c r="F8" s="17" t="b">
        <v>0</v>
      </c>
      <c r="G8" s="17" t="b">
        <v>0</v>
      </c>
      <c r="H8" s="17" t="b">
        <v>0</v>
      </c>
      <c r="I8" s="18" t="str">
        <f>IF(COUNTIF(F8:H8,TRUE)=0,"offen",IF(COUNTIF(F8:H8,TRUE)&gt;1,"mehrfach!",IF(G8=TRUE,"n. i. O.","erledigt")))</f>
        <v>offen</v>
      </c>
      <c r="J8" s="9"/>
    </row>
    <row r="9" spans="1:10" ht="53" customHeight="1">
      <c r="A9" s="15">
        <v>3</v>
      </c>
      <c r="B9" s="8" t="s">
        <v>14</v>
      </c>
      <c r="C9" s="15" t="s">
        <v>20</v>
      </c>
      <c r="D9" s="9" t="s">
        <v>21</v>
      </c>
      <c r="E9" s="16" t="s">
        <v>22</v>
      </c>
      <c r="F9" s="17" t="b">
        <v>0</v>
      </c>
      <c r="G9" s="17" t="b">
        <v>0</v>
      </c>
      <c r="H9" s="17" t="b">
        <v>0</v>
      </c>
      <c r="I9" s="18" t="str">
        <f>IF(COUNTIF(F9:H9,TRUE)=0,"offen",IF(COUNTIF(F9:H9,TRUE)&gt;1,"mehrfach!",IF(G9=TRUE,"n. i. O.","erledigt")))</f>
        <v>offen</v>
      </c>
      <c r="J9" s="9"/>
    </row>
    <row r="10" spans="1:10" ht="65.5" customHeight="1">
      <c r="A10" s="15">
        <v>4</v>
      </c>
      <c r="B10" s="8" t="s">
        <v>14</v>
      </c>
      <c r="C10" s="15" t="s">
        <v>23</v>
      </c>
      <c r="D10" s="9" t="s">
        <v>24</v>
      </c>
      <c r="E10" s="16" t="s">
        <v>25</v>
      </c>
      <c r="F10" s="17" t="b">
        <v>0</v>
      </c>
      <c r="G10" s="17" t="b">
        <v>0</v>
      </c>
      <c r="H10" s="17" t="b">
        <v>0</v>
      </c>
      <c r="I10" s="18" t="str">
        <f>IF(COUNTIF(F10:H10,TRUE)=0,"offen",IF(COUNTIF(F10:H10,TRUE)&gt;1,"mehrfach!",IF(G10=TRUE,"n. i. O.","erledigt")))</f>
        <v>offen</v>
      </c>
      <c r="J10" s="9"/>
    </row>
    <row r="11" spans="1:10">
      <c r="A11" s="19" t="s">
        <v>26</v>
      </c>
      <c r="B11" s="19"/>
      <c r="C11" s="19"/>
      <c r="D11" s="19"/>
      <c r="E11" s="19"/>
      <c r="F11" s="19"/>
      <c r="G11" s="19"/>
      <c r="H11" s="19"/>
      <c r="I11" s="19"/>
      <c r="J11" s="19"/>
    </row>
    <row r="12" spans="1:10" ht="28" customHeight="1">
      <c r="A12" s="20">
        <v>5</v>
      </c>
      <c r="B12" s="10" t="s">
        <v>27</v>
      </c>
      <c r="C12" s="20" t="s">
        <v>28</v>
      </c>
      <c r="D12" s="11" t="s">
        <v>29</v>
      </c>
      <c r="E12" s="21" t="s">
        <v>30</v>
      </c>
      <c r="F12" s="22" t="b">
        <v>0</v>
      </c>
      <c r="G12" s="22" t="b">
        <v>0</v>
      </c>
      <c r="H12" s="22" t="b">
        <v>0</v>
      </c>
      <c r="I12" s="23" t="str">
        <f>IF(COUNTIF(F12:H12,TRUE)=0,"offen",IF(COUNTIF(F12:H12,TRUE)&gt;1,"mehrfach!",IF(G12=TRUE,"n. i. O.","erledigt")))</f>
        <v>offen</v>
      </c>
      <c r="J12" s="11"/>
    </row>
    <row r="13" spans="1:10" ht="15.5" customHeight="1">
      <c r="A13" s="20">
        <v>6</v>
      </c>
      <c r="B13" s="10" t="s">
        <v>27</v>
      </c>
      <c r="C13" s="20" t="s">
        <v>31</v>
      </c>
      <c r="D13" s="11" t="s">
        <v>32</v>
      </c>
      <c r="E13" s="21" t="s">
        <v>33</v>
      </c>
      <c r="F13" s="22" t="b">
        <v>0</v>
      </c>
      <c r="G13" s="22" t="b">
        <v>0</v>
      </c>
      <c r="H13" s="22" t="b">
        <v>0</v>
      </c>
      <c r="I13" s="23" t="str">
        <f>IF(COUNTIF(F13:H13,TRUE)=0,"offen",IF(COUNTIF(F13:H13,TRUE)&gt;1,"mehrfach!",IF(G13=TRUE,"n. i. O.","erledigt")))</f>
        <v>offen</v>
      </c>
      <c r="J13" s="11"/>
    </row>
    <row r="14" spans="1:10" ht="15.5" customHeight="1">
      <c r="A14" s="20">
        <v>7</v>
      </c>
      <c r="B14" s="10" t="s">
        <v>27</v>
      </c>
      <c r="C14" s="20" t="s">
        <v>34</v>
      </c>
      <c r="D14" s="11" t="s">
        <v>35</v>
      </c>
      <c r="E14" s="21" t="s">
        <v>36</v>
      </c>
      <c r="F14" s="22" t="b">
        <v>0</v>
      </c>
      <c r="G14" s="22" t="b">
        <v>0</v>
      </c>
      <c r="H14" s="22" t="b">
        <v>0</v>
      </c>
      <c r="I14" s="23" t="str">
        <f>IF(COUNTIF(F14:H14,TRUE)=0,"offen",IF(COUNTIF(F14:H14,TRUE)&gt;1,"mehrfach!",IF(G14=TRUE,"n. i. O.","erledigt")))</f>
        <v>offen</v>
      </c>
      <c r="J14" s="11"/>
    </row>
    <row r="15" spans="1:10" ht="28" customHeight="1">
      <c r="A15" s="20">
        <v>8</v>
      </c>
      <c r="B15" s="10" t="s">
        <v>27</v>
      </c>
      <c r="C15" s="20" t="s">
        <v>37</v>
      </c>
      <c r="D15" s="11" t="s">
        <v>38</v>
      </c>
      <c r="E15" s="21" t="s">
        <v>39</v>
      </c>
      <c r="F15" s="22" t="b">
        <v>0</v>
      </c>
      <c r="G15" s="22" t="b">
        <v>0</v>
      </c>
      <c r="H15" s="22" t="b">
        <v>0</v>
      </c>
      <c r="I15" s="23" t="str">
        <f>IF(COUNTIF(F15:H15,TRUE)=0,"offen",IF(COUNTIF(F15:H15,TRUE)&gt;1,"mehrfach!",IF(G15=TRUE,"n. i. O.","erledigt")))</f>
        <v>offen</v>
      </c>
      <c r="J15" s="11"/>
    </row>
    <row r="16" spans="1:10" ht="28" customHeight="1">
      <c r="A16" s="20">
        <v>9</v>
      </c>
      <c r="B16" s="10" t="s">
        <v>27</v>
      </c>
      <c r="C16" s="20" t="s">
        <v>40</v>
      </c>
      <c r="D16" s="11" t="s">
        <v>41</v>
      </c>
      <c r="E16" s="21" t="s">
        <v>39</v>
      </c>
      <c r="F16" s="22" t="b">
        <v>0</v>
      </c>
      <c r="G16" s="22" t="b">
        <v>0</v>
      </c>
      <c r="H16" s="22" t="b">
        <v>0</v>
      </c>
      <c r="I16" s="23" t="str">
        <f>IF(COUNTIF(F16:H16,TRUE)=0,"offen",IF(COUNTIF(F16:H16,TRUE)&gt;1,"mehrfach!",IF(G16=TRUE,"n. i. O.","erledigt")))</f>
        <v>offen</v>
      </c>
      <c r="J16" s="11"/>
    </row>
    <row r="17" spans="1:10" ht="15.5" customHeight="1">
      <c r="A17" s="20">
        <v>10</v>
      </c>
      <c r="B17" s="10" t="s">
        <v>27</v>
      </c>
      <c r="C17" s="20" t="s">
        <v>42</v>
      </c>
      <c r="D17" s="11" t="s">
        <v>43</v>
      </c>
      <c r="E17" s="21" t="s">
        <v>44</v>
      </c>
      <c r="F17" s="22" t="b">
        <v>0</v>
      </c>
      <c r="G17" s="22" t="b">
        <v>0</v>
      </c>
      <c r="H17" s="22" t="b">
        <v>0</v>
      </c>
      <c r="I17" s="23" t="str">
        <f>IF(COUNTIF(F17:H17,TRUE)=0,"offen",IF(COUNTIF(F17:H17,TRUE)&gt;1,"mehrfach!",IF(G17=TRUE,"n. i. O.","erledigt")))</f>
        <v>offen</v>
      </c>
      <c r="J17" s="11"/>
    </row>
    <row r="18" spans="1:10" ht="28" customHeight="1">
      <c r="A18" s="20">
        <v>11</v>
      </c>
      <c r="B18" s="10" t="s">
        <v>27</v>
      </c>
      <c r="C18" s="20" t="s">
        <v>45</v>
      </c>
      <c r="D18" s="11" t="s">
        <v>46</v>
      </c>
      <c r="E18" s="21" t="s">
        <v>44</v>
      </c>
      <c r="F18" s="22" t="b">
        <v>0</v>
      </c>
      <c r="G18" s="22" t="b">
        <v>0</v>
      </c>
      <c r="H18" s="22" t="b">
        <v>0</v>
      </c>
      <c r="I18" s="23" t="str">
        <f>IF(COUNTIF(F18:H18,TRUE)=0,"offen",IF(COUNTIF(F18:H18,TRUE)&gt;1,"mehrfach!",IF(G18=TRUE,"n. i. O.","erledigt")))</f>
        <v>offen</v>
      </c>
      <c r="J18" s="11"/>
    </row>
    <row r="19" spans="1:10" ht="20" customHeight="1">
      <c r="A19" s="13" t="s">
        <v>47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4" t="s">
        <v>48</v>
      </c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28" customHeight="1">
      <c r="A21" s="15">
        <v>12</v>
      </c>
      <c r="B21" s="8" t="s">
        <v>14</v>
      </c>
      <c r="C21" s="15" t="s">
        <v>49</v>
      </c>
      <c r="D21" s="9" t="s">
        <v>50</v>
      </c>
      <c r="E21" s="16" t="s">
        <v>51</v>
      </c>
      <c r="F21" s="17" t="b">
        <v>0</v>
      </c>
      <c r="G21" s="17" t="b">
        <v>0</v>
      </c>
      <c r="H21" s="17" t="b">
        <v>0</v>
      </c>
      <c r="I21" s="18" t="str">
        <f>IF(COUNTIF(F21:H21,TRUE)=0,"offen",IF(COUNTIF(F21:H21,TRUE)&gt;1,"mehrfach!",IF(G21=TRUE,"n. i. O.","erledigt")))</f>
        <v>offen</v>
      </c>
      <c r="J21" s="9"/>
    </row>
    <row r="22" spans="1:10" ht="28" customHeight="1">
      <c r="A22" s="15">
        <v>13</v>
      </c>
      <c r="B22" s="8" t="s">
        <v>14</v>
      </c>
      <c r="C22" s="15" t="s">
        <v>52</v>
      </c>
      <c r="D22" s="9" t="s">
        <v>53</v>
      </c>
      <c r="E22" s="16" t="s">
        <v>54</v>
      </c>
      <c r="F22" s="17" t="b">
        <v>0</v>
      </c>
      <c r="G22" s="17" t="b">
        <v>0</v>
      </c>
      <c r="H22" s="17" t="b">
        <v>0</v>
      </c>
      <c r="I22" s="18" t="str">
        <f>IF(COUNTIF(F22:H22,TRUE)=0,"offen",IF(COUNTIF(F22:H22,TRUE)&gt;1,"mehrfach!",IF(G22=TRUE,"n. i. O.","erledigt")))</f>
        <v>offen</v>
      </c>
      <c r="J22" s="9"/>
    </row>
    <row r="23" spans="1:10">
      <c r="A23" s="19" t="s">
        <v>55</v>
      </c>
      <c r="B23" s="19"/>
      <c r="C23" s="19"/>
      <c r="D23" s="19"/>
      <c r="E23" s="19"/>
      <c r="F23" s="19"/>
      <c r="G23" s="19"/>
      <c r="H23" s="19"/>
      <c r="I23" s="19"/>
      <c r="J23" s="19"/>
    </row>
    <row r="24" spans="1:10" ht="28" customHeight="1">
      <c r="A24" s="20">
        <v>14</v>
      </c>
      <c r="B24" s="10" t="s">
        <v>27</v>
      </c>
      <c r="C24" s="20" t="s">
        <v>56</v>
      </c>
      <c r="D24" s="11" t="s">
        <v>57</v>
      </c>
      <c r="E24" s="21" t="s">
        <v>58</v>
      </c>
      <c r="F24" s="22" t="b">
        <v>0</v>
      </c>
      <c r="G24" s="22" t="b">
        <v>0</v>
      </c>
      <c r="H24" s="22" t="b">
        <v>0</v>
      </c>
      <c r="I24" s="23" t="str">
        <f>IF(COUNTIF(F24:H24,TRUE)=0,"offen",IF(COUNTIF(F24:H24,TRUE)&gt;1,"mehrfach!",IF(G24=TRUE,"n. i. O.","erledigt")))</f>
        <v>offen</v>
      </c>
      <c r="J24" s="11"/>
    </row>
    <row r="25" spans="1:10" ht="28" customHeight="1">
      <c r="A25" s="20">
        <v>15</v>
      </c>
      <c r="B25" s="10" t="s">
        <v>27</v>
      </c>
      <c r="C25" s="20" t="s">
        <v>59</v>
      </c>
      <c r="D25" s="11" t="s">
        <v>60</v>
      </c>
      <c r="E25" s="21" t="s">
        <v>61</v>
      </c>
      <c r="F25" s="22" t="b">
        <v>0</v>
      </c>
      <c r="G25" s="22" t="b">
        <v>0</v>
      </c>
      <c r="H25" s="22" t="b">
        <v>0</v>
      </c>
      <c r="I25" s="23" t="str">
        <f>IF(COUNTIF(F25:H25,TRUE)=0,"offen",IF(COUNTIF(F25:H25,TRUE)&gt;1,"mehrfach!",IF(G25=TRUE,"n. i. O.","erledigt")))</f>
        <v>offen</v>
      </c>
      <c r="J25" s="11"/>
    </row>
    <row r="26" spans="1:10" ht="20" customHeight="1">
      <c r="A26" s="13" t="s">
        <v>62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>
      <c r="A27" s="14" t="s">
        <v>63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28" customHeight="1">
      <c r="A28" s="15">
        <v>16</v>
      </c>
      <c r="B28" s="8" t="s">
        <v>14</v>
      </c>
      <c r="C28" s="15" t="s">
        <v>64</v>
      </c>
      <c r="D28" s="9" t="s">
        <v>65</v>
      </c>
      <c r="E28" s="16" t="s">
        <v>66</v>
      </c>
      <c r="F28" s="17" t="b">
        <v>0</v>
      </c>
      <c r="G28" s="17" t="b">
        <v>0</v>
      </c>
      <c r="H28" s="17" t="b">
        <v>0</v>
      </c>
      <c r="I28" s="18" t="str">
        <f>IF(COUNTIF(F28:H28,TRUE)=0,"offen",IF(COUNTIF(F28:H28,TRUE)&gt;1,"mehrfach!",IF(G28=TRUE,"n. i. O.","erledigt")))</f>
        <v>offen</v>
      </c>
      <c r="J28" s="9"/>
    </row>
    <row r="29" spans="1:10" ht="40.5" customHeight="1">
      <c r="A29" s="15">
        <v>17</v>
      </c>
      <c r="B29" s="8" t="s">
        <v>14</v>
      </c>
      <c r="C29" s="15" t="s">
        <v>67</v>
      </c>
      <c r="D29" s="9" t="s">
        <v>68</v>
      </c>
      <c r="E29" s="16" t="s">
        <v>69</v>
      </c>
      <c r="F29" s="17" t="b">
        <v>0</v>
      </c>
      <c r="G29" s="17" t="b">
        <v>0</v>
      </c>
      <c r="H29" s="17" t="b">
        <v>0</v>
      </c>
      <c r="I29" s="18" t="str">
        <f>IF(COUNTIF(F29:H29,TRUE)=0,"offen",IF(COUNTIF(F29:H29,TRUE)&gt;1,"mehrfach!",IF(G29=TRUE,"n. i. O.","erledigt")))</f>
        <v>offen</v>
      </c>
      <c r="J29" s="9"/>
    </row>
    <row r="30" spans="1:10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</row>
    <row r="31" spans="1:10" ht="28" customHeight="1">
      <c r="A31" s="20">
        <v>18</v>
      </c>
      <c r="B31" s="10" t="s">
        <v>27</v>
      </c>
      <c r="C31" s="20" t="s">
        <v>71</v>
      </c>
      <c r="D31" s="11" t="s">
        <v>72</v>
      </c>
      <c r="E31" s="21" t="s">
        <v>73</v>
      </c>
      <c r="F31" s="22" t="b">
        <v>0</v>
      </c>
      <c r="G31" s="22" t="b">
        <v>0</v>
      </c>
      <c r="H31" s="22" t="b">
        <v>0</v>
      </c>
      <c r="I31" s="23" t="str">
        <f>IF(COUNTIF(F31:H31,TRUE)=0,"offen",IF(COUNTIF(F31:H31,TRUE)&gt;1,"mehrfach!",IF(G31=TRUE,"n. i. O.","erledigt")))</f>
        <v>offen</v>
      </c>
      <c r="J31" s="11"/>
    </row>
    <row r="32" spans="1:10" ht="15.5" customHeight="1">
      <c r="A32" s="20">
        <v>19</v>
      </c>
      <c r="B32" s="10" t="s">
        <v>27</v>
      </c>
      <c r="C32" s="20" t="s">
        <v>74</v>
      </c>
      <c r="D32" s="11" t="s">
        <v>75</v>
      </c>
      <c r="E32" s="21" t="s">
        <v>76</v>
      </c>
      <c r="F32" s="22" t="b">
        <v>0</v>
      </c>
      <c r="G32" s="22" t="b">
        <v>0</v>
      </c>
      <c r="H32" s="22" t="b">
        <v>0</v>
      </c>
      <c r="I32" s="23" t="str">
        <f>IF(COUNTIF(F32:H32,TRUE)=0,"offen",IF(COUNTIF(F32:H32,TRUE)&gt;1,"mehrfach!",IF(G32=TRUE,"n. i. O.","erledigt")))</f>
        <v>offen</v>
      </c>
      <c r="J32" s="11"/>
    </row>
    <row r="33" spans="1:10" ht="28" customHeight="1">
      <c r="A33" s="20">
        <v>20</v>
      </c>
      <c r="B33" s="10" t="s">
        <v>27</v>
      </c>
      <c r="C33" s="20" t="s">
        <v>77</v>
      </c>
      <c r="D33" s="11" t="s">
        <v>78</v>
      </c>
      <c r="E33" s="21" t="s">
        <v>79</v>
      </c>
      <c r="F33" s="22" t="b">
        <v>0</v>
      </c>
      <c r="G33" s="22" t="b">
        <v>0</v>
      </c>
      <c r="H33" s="22" t="b">
        <v>0</v>
      </c>
      <c r="I33" s="23" t="str">
        <f>IF(COUNTIF(F33:H33,TRUE)=0,"offen",IF(COUNTIF(F33:H33,TRUE)&gt;1,"mehrfach!",IF(G33=TRUE,"n. i. O.","erledigt")))</f>
        <v>offen</v>
      </c>
      <c r="J33" s="11"/>
    </row>
    <row r="34" spans="1:10" ht="20" customHeight="1">
      <c r="A34" s="13" t="s">
        <v>80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>
      <c r="A35" s="14" t="s">
        <v>81</v>
      </c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28" customHeight="1">
      <c r="A36" s="15">
        <v>21</v>
      </c>
      <c r="B36" s="8" t="s">
        <v>14</v>
      </c>
      <c r="C36" s="15" t="s">
        <v>82</v>
      </c>
      <c r="D36" s="9" t="s">
        <v>83</v>
      </c>
      <c r="E36" s="16" t="s">
        <v>84</v>
      </c>
      <c r="F36" s="17" t="b">
        <v>0</v>
      </c>
      <c r="G36" s="17" t="b">
        <v>0</v>
      </c>
      <c r="H36" s="17" t="b">
        <v>0</v>
      </c>
      <c r="I36" s="18" t="str">
        <f>IF(COUNTIF(F36:H36,TRUE)=0,"offen",IF(COUNTIF(F36:H36,TRUE)&gt;1,"mehrfach!",IF(G36=TRUE,"n. i. O.","erledigt")))</f>
        <v>offen</v>
      </c>
      <c r="J36" s="9"/>
    </row>
    <row r="37" spans="1:10" ht="15.5" customHeight="1">
      <c r="A37" s="15">
        <v>22</v>
      </c>
      <c r="B37" s="8" t="s">
        <v>14</v>
      </c>
      <c r="C37" s="15" t="s">
        <v>85</v>
      </c>
      <c r="D37" s="9" t="s">
        <v>86</v>
      </c>
      <c r="E37" s="16" t="s">
        <v>87</v>
      </c>
      <c r="F37" s="17" t="b">
        <v>0</v>
      </c>
      <c r="G37" s="17" t="b">
        <v>0</v>
      </c>
      <c r="H37" s="17" t="b">
        <v>0</v>
      </c>
      <c r="I37" s="18" t="str">
        <f>IF(COUNTIF(F37:H37,TRUE)=0,"offen",IF(COUNTIF(F37:H37,TRUE)&gt;1,"mehrfach!",IF(G37=TRUE,"n. i. O.","erledigt")))</f>
        <v>offen</v>
      </c>
      <c r="J37" s="9"/>
    </row>
    <row r="38" spans="1:10">
      <c r="A38" s="19" t="s">
        <v>88</v>
      </c>
      <c r="B38" s="19"/>
      <c r="C38" s="19"/>
      <c r="D38" s="19"/>
      <c r="E38" s="19"/>
      <c r="F38" s="19"/>
      <c r="G38" s="19"/>
      <c r="H38" s="19"/>
      <c r="I38" s="19"/>
      <c r="J38" s="19"/>
    </row>
    <row r="39" spans="1:10" ht="28" customHeight="1">
      <c r="A39" s="20">
        <v>23</v>
      </c>
      <c r="B39" s="10" t="s">
        <v>27</v>
      </c>
      <c r="C39" s="20" t="s">
        <v>89</v>
      </c>
      <c r="D39" s="11" t="s">
        <v>90</v>
      </c>
      <c r="E39" s="21" t="s">
        <v>91</v>
      </c>
      <c r="F39" s="22" t="b">
        <v>0</v>
      </c>
      <c r="G39" s="22" t="b">
        <v>0</v>
      </c>
      <c r="H39" s="22" t="b">
        <v>0</v>
      </c>
      <c r="I39" s="23" t="str">
        <f>IF(COUNTIF(F39:H39,TRUE)=0,"offen",IF(COUNTIF(F39:H39,TRUE)&gt;1,"mehrfach!",IF(G39=TRUE,"n. i. O.","erledigt")))</f>
        <v>offen</v>
      </c>
      <c r="J39" s="11"/>
    </row>
    <row r="40" spans="1:10" ht="15.5" customHeight="1">
      <c r="A40" s="20">
        <v>24</v>
      </c>
      <c r="B40" s="10" t="s">
        <v>27</v>
      </c>
      <c r="C40" s="20" t="s">
        <v>92</v>
      </c>
      <c r="D40" s="11" t="s">
        <v>93</v>
      </c>
      <c r="E40" s="21" t="s">
        <v>94</v>
      </c>
      <c r="F40" s="22" t="b">
        <v>0</v>
      </c>
      <c r="G40" s="22" t="b">
        <v>0</v>
      </c>
      <c r="H40" s="22" t="b">
        <v>0</v>
      </c>
      <c r="I40" s="23" t="str">
        <f>IF(COUNTIF(F40:H40,TRUE)=0,"offen",IF(COUNTIF(F40:H40,TRUE)&gt;1,"mehrfach!",IF(G40=TRUE,"n. i. O.","erledigt")))</f>
        <v>offen</v>
      </c>
      <c r="J40" s="11"/>
    </row>
    <row r="41" spans="1:10" ht="20" customHeight="1">
      <c r="A41" s="13" t="s">
        <v>95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>
      <c r="A42" s="14" t="s">
        <v>96</v>
      </c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28" customHeight="1">
      <c r="A43" s="15">
        <v>25</v>
      </c>
      <c r="B43" s="8" t="s">
        <v>14</v>
      </c>
      <c r="C43" s="15" t="s">
        <v>97</v>
      </c>
      <c r="D43" s="9" t="s">
        <v>98</v>
      </c>
      <c r="E43" s="16" t="s">
        <v>99</v>
      </c>
      <c r="F43" s="17" t="b">
        <v>0</v>
      </c>
      <c r="G43" s="17" t="b">
        <v>0</v>
      </c>
      <c r="H43" s="17" t="b">
        <v>0</v>
      </c>
      <c r="I43" s="18" t="str">
        <f>IF(COUNTIF(F43:H43,TRUE)=0,"offen",IF(COUNTIF(F43:H43,TRUE)&gt;1,"mehrfach!",IF(G43=TRUE,"n. i. O.","erledigt")))</f>
        <v>offen</v>
      </c>
      <c r="J43" s="9"/>
    </row>
    <row r="44" spans="1:10" ht="15.5" customHeight="1">
      <c r="A44" s="15">
        <v>26</v>
      </c>
      <c r="B44" s="8" t="s">
        <v>14</v>
      </c>
      <c r="C44" s="15" t="s">
        <v>100</v>
      </c>
      <c r="D44" s="9" t="s">
        <v>101</v>
      </c>
      <c r="E44" s="16" t="s">
        <v>102</v>
      </c>
      <c r="F44" s="17" t="b">
        <v>0</v>
      </c>
      <c r="G44" s="17" t="b">
        <v>0</v>
      </c>
      <c r="H44" s="17" t="b">
        <v>0</v>
      </c>
      <c r="I44" s="18" t="str">
        <f>IF(COUNTIF(F44:H44,TRUE)=0,"offen",IF(COUNTIF(F44:H44,TRUE)&gt;1,"mehrfach!",IF(G44=TRUE,"n. i. O.","erledigt")))</f>
        <v>offen</v>
      </c>
      <c r="J44" s="9"/>
    </row>
    <row r="45" spans="1:10" ht="40.5" customHeight="1">
      <c r="A45" s="15">
        <v>27</v>
      </c>
      <c r="B45" s="8" t="s">
        <v>14</v>
      </c>
      <c r="C45" s="15" t="s">
        <v>103</v>
      </c>
      <c r="D45" s="9" t="s">
        <v>104</v>
      </c>
      <c r="E45" s="16" t="s">
        <v>105</v>
      </c>
      <c r="F45" s="17" t="b">
        <v>0</v>
      </c>
      <c r="G45" s="17" t="b">
        <v>0</v>
      </c>
      <c r="H45" s="17" t="b">
        <v>0</v>
      </c>
      <c r="I45" s="18" t="str">
        <f>IF(COUNTIF(F45:H45,TRUE)=0,"offen",IF(COUNTIF(F45:H45,TRUE)&gt;1,"mehrfach!",IF(G45=TRUE,"n. i. O.","erledigt")))</f>
        <v>offen</v>
      </c>
      <c r="J45" s="9"/>
    </row>
    <row r="46" spans="1:10" ht="28" customHeight="1">
      <c r="A46" s="15">
        <v>28</v>
      </c>
      <c r="B46" s="8" t="s">
        <v>14</v>
      </c>
      <c r="C46" s="15" t="s">
        <v>106</v>
      </c>
      <c r="D46" s="9" t="s">
        <v>107</v>
      </c>
      <c r="E46" s="16" t="s">
        <v>108</v>
      </c>
      <c r="F46" s="17" t="b">
        <v>0</v>
      </c>
      <c r="G46" s="17" t="b">
        <v>0</v>
      </c>
      <c r="H46" s="17" t="b">
        <v>0</v>
      </c>
      <c r="I46" s="18" t="str">
        <f>IF(COUNTIF(F46:H46,TRUE)=0,"offen",IF(COUNTIF(F46:H46,TRUE)&gt;1,"mehrfach!",IF(G46=TRUE,"n. i. O.","erledigt")))</f>
        <v>offen</v>
      </c>
      <c r="J46" s="9"/>
    </row>
    <row r="47" spans="1:10" ht="28" customHeight="1">
      <c r="A47" s="15">
        <v>29</v>
      </c>
      <c r="B47" s="8" t="s">
        <v>14</v>
      </c>
      <c r="C47" s="15" t="s">
        <v>109</v>
      </c>
      <c r="D47" s="9" t="s">
        <v>110</v>
      </c>
      <c r="E47" s="16" t="s">
        <v>111</v>
      </c>
      <c r="F47" s="17" t="b">
        <v>0</v>
      </c>
      <c r="G47" s="17" t="b">
        <v>0</v>
      </c>
      <c r="H47" s="17" t="b">
        <v>0</v>
      </c>
      <c r="I47" s="18" t="str">
        <f>IF(COUNTIF(F47:H47,TRUE)=0,"offen",IF(COUNTIF(F47:H47,TRUE)&gt;1,"mehrfach!",IF(G47=TRUE,"n. i. O.","erledigt")))</f>
        <v>offen</v>
      </c>
      <c r="J47" s="9"/>
    </row>
    <row r="48" spans="1:10">
      <c r="A48" s="19" t="s">
        <v>112</v>
      </c>
      <c r="B48" s="19"/>
      <c r="C48" s="19"/>
      <c r="D48" s="19"/>
      <c r="E48" s="19"/>
      <c r="F48" s="19"/>
      <c r="G48" s="19"/>
      <c r="H48" s="19"/>
      <c r="I48" s="19"/>
      <c r="J48" s="19"/>
    </row>
    <row r="49" spans="1:10" ht="28" customHeight="1">
      <c r="A49" s="20">
        <v>30</v>
      </c>
      <c r="B49" s="10" t="s">
        <v>27</v>
      </c>
      <c r="C49" s="20" t="s">
        <v>113</v>
      </c>
      <c r="D49" s="11" t="s">
        <v>114</v>
      </c>
      <c r="E49" s="21" t="s">
        <v>115</v>
      </c>
      <c r="F49" s="22" t="b">
        <v>0</v>
      </c>
      <c r="G49" s="22" t="b">
        <v>0</v>
      </c>
      <c r="H49" s="22" t="b">
        <v>0</v>
      </c>
      <c r="I49" s="23" t="str">
        <f>IF(COUNTIF(F49:H49,TRUE)=0,"offen",IF(COUNTIF(F49:H49,TRUE)&gt;1,"mehrfach!",IF(G49=TRUE,"n. i. O.","erledigt")))</f>
        <v>offen</v>
      </c>
      <c r="J49" s="11"/>
    </row>
    <row r="50" spans="1:10" ht="15.5" customHeight="1">
      <c r="A50" s="20">
        <v>31</v>
      </c>
      <c r="B50" s="10" t="s">
        <v>27</v>
      </c>
      <c r="C50" s="20" t="s">
        <v>116</v>
      </c>
      <c r="D50" s="11" t="s">
        <v>117</v>
      </c>
      <c r="E50" s="21" t="s">
        <v>118</v>
      </c>
      <c r="F50" s="22" t="b">
        <v>0</v>
      </c>
      <c r="G50" s="22" t="b">
        <v>0</v>
      </c>
      <c r="H50" s="22" t="b">
        <v>0</v>
      </c>
      <c r="I50" s="23" t="str">
        <f>IF(COUNTIF(F50:H50,TRUE)=0,"offen",IF(COUNTIF(F50:H50,TRUE)&gt;1,"mehrfach!",IF(G50=TRUE,"n. i. O.","erledigt")))</f>
        <v>offen</v>
      </c>
      <c r="J50" s="11"/>
    </row>
    <row r="51" spans="1:10" ht="28" customHeight="1">
      <c r="A51" s="20">
        <v>32</v>
      </c>
      <c r="B51" s="10" t="s">
        <v>27</v>
      </c>
      <c r="C51" s="20" t="s">
        <v>119</v>
      </c>
      <c r="D51" s="11" t="s">
        <v>120</v>
      </c>
      <c r="E51" s="21" t="s">
        <v>121</v>
      </c>
      <c r="F51" s="22" t="b">
        <v>0</v>
      </c>
      <c r="G51" s="22" t="b">
        <v>0</v>
      </c>
      <c r="H51" s="22" t="b">
        <v>0</v>
      </c>
      <c r="I51" s="23" t="str">
        <f>IF(COUNTIF(F51:H51,TRUE)=0,"offen",IF(COUNTIF(F51:H51,TRUE)&gt;1,"mehrfach!",IF(G51=TRUE,"n. i. O.","erledigt")))</f>
        <v>offen</v>
      </c>
      <c r="J51" s="11"/>
    </row>
    <row r="52" spans="1:10" ht="28" customHeight="1">
      <c r="A52" s="20">
        <v>33</v>
      </c>
      <c r="B52" s="10" t="s">
        <v>27</v>
      </c>
      <c r="C52" s="20" t="s">
        <v>122</v>
      </c>
      <c r="D52" s="11" t="s">
        <v>123</v>
      </c>
      <c r="E52" s="21" t="s">
        <v>124</v>
      </c>
      <c r="F52" s="22" t="b">
        <v>0</v>
      </c>
      <c r="G52" s="22" t="b">
        <v>0</v>
      </c>
      <c r="H52" s="22" t="b">
        <v>0</v>
      </c>
      <c r="I52" s="23" t="str">
        <f>IF(COUNTIF(F52:H52,TRUE)=0,"offen",IF(COUNTIF(F52:H52,TRUE)&gt;1,"mehrfach!",IF(G52=TRUE,"n. i. O.","erledigt")))</f>
        <v>offen</v>
      </c>
      <c r="J52" s="11"/>
    </row>
    <row r="53" spans="1:10" ht="15.5" customHeight="1">
      <c r="A53" s="20">
        <v>34</v>
      </c>
      <c r="B53" s="10" t="s">
        <v>27</v>
      </c>
      <c r="C53" s="20" t="s">
        <v>125</v>
      </c>
      <c r="D53" s="11" t="s">
        <v>126</v>
      </c>
      <c r="E53" s="21" t="s">
        <v>127</v>
      </c>
      <c r="F53" s="22" t="b">
        <v>0</v>
      </c>
      <c r="G53" s="22" t="b">
        <v>0</v>
      </c>
      <c r="H53" s="22" t="b">
        <v>0</v>
      </c>
      <c r="I53" s="23" t="str">
        <f>IF(COUNTIF(F53:H53,TRUE)=0,"offen",IF(COUNTIF(F53:H53,TRUE)&gt;1,"mehrfach!",IF(G53=TRUE,"n. i. O.","erledigt")))</f>
        <v>offen</v>
      </c>
      <c r="J53" s="11"/>
    </row>
  </sheetData>
  <autoFilter ref="A4:J53"/>
  <mergeCells count="15">
    <mergeCell ref="A5:J5"/>
    <mergeCell ref="A6:J6"/>
    <mergeCell ref="A11:J11"/>
    <mergeCell ref="A19:J19"/>
    <mergeCell ref="A20:J20"/>
    <mergeCell ref="A23:J23"/>
    <mergeCell ref="A26:J26"/>
    <mergeCell ref="A27:J27"/>
    <mergeCell ref="A30:J30"/>
    <mergeCell ref="A34:J34"/>
    <mergeCell ref="A35:J35"/>
    <mergeCell ref="A38:J38"/>
    <mergeCell ref="A41:J41"/>
    <mergeCell ref="A42:J42"/>
    <mergeCell ref="A48:J48"/>
  </mergeCells>
  <conditionalFormatting sqref="I5:I53">
    <cfRule type="cellIs" dxfId="0" priority="1" operator="equal">
      <formula>"erledigt"</formula>
    </cfRule>
    <cfRule type="cellIs" dxfId="1" priority="2" operator="equal">
      <formula>"n. i. O."</formula>
    </cfRule>
    <cfRule type="cellIs" dxfId="2" priority="3" operator="equal">
      <formula>"mehrfach!"</formula>
    </cfRule>
  </conditionalFormatting>
  <hyperlinks>
    <hyperlink ref="E7" location="'Prüfprotokoll'!D12" tooltip="Zur zugehörigen Prüfanleitung springen" display="↓ PA 1 (+1)"/>
    <hyperlink ref="E8" location="'Prüfprotokoll'!D12" tooltip="Zur zugehörigen Prüfanleitung springen" display="↓ PA 1 (+1)"/>
    <hyperlink ref="E9" location="'Prüfprotokoll'!D15" tooltip="Zur zugehörigen Prüfanleitung springen" display="↓ PA 4 (+1)"/>
    <hyperlink ref="E10" location="'Prüfprotokoll'!D17" tooltip="Zur zugehörigen Prüfanleitung springen" display="↓ PA 6 (+1)"/>
    <hyperlink ref="E12" location="'Prüfprotokoll'!D7" tooltip="Zur TIP-Frage springen" display="↑ S5 Nr. 1, 2"/>
    <hyperlink ref="E13" location="'Prüfprotokoll'!D7" tooltip="Zur TIP-Frage springen" display="↑ S5 Nr. 1"/>
    <hyperlink ref="E14" location="'Prüfprotokoll'!D8" tooltip="Zur TIP-Frage springen" display="↑ S5 Nr. 2"/>
    <hyperlink ref="E15" location="'Prüfprotokoll'!D9" tooltip="Zur TIP-Frage springen" display="↑ S5 Nr. 3"/>
    <hyperlink ref="E16" location="'Prüfprotokoll'!D9" tooltip="Zur TIP-Frage springen" display="↑ S5 Nr. 3"/>
    <hyperlink ref="E17" location="'Prüfprotokoll'!D10" tooltip="Zur TIP-Frage springen" display="↑ S5 Nr. 13"/>
    <hyperlink ref="E18" location="'Prüfprotokoll'!D10" tooltip="Zur TIP-Frage springen" display="↑ S5 Nr. 13"/>
    <hyperlink ref="E21" location="'Prüfprotokoll'!D24" tooltip="Zur zugehörigen Prüfanleitung springen" display="↓ PA 8"/>
    <hyperlink ref="E22" location="'Prüfprotokoll'!D25" tooltip="Zur zugehörigen Prüfanleitung springen" display="↓ PA 9"/>
    <hyperlink ref="E24" location="'Prüfprotokoll'!D21" tooltip="Zur TIP-Frage springen" display="↑ S5 Nr. 4"/>
    <hyperlink ref="E25" location="'Prüfprotokoll'!D22" tooltip="Zur TIP-Frage springen" display="↑ S5 Nr. 5"/>
    <hyperlink ref="E28" location="'Prüfprotokoll'!D31" tooltip="Zur zugehörigen Prüfanleitung springen" display="↓ PA 10 (+1)"/>
    <hyperlink ref="E29" location="'Prüfprotokoll'!D32" tooltip="Zur zugehörigen Prüfanleitung springen" display="↓ PA 11 (+1)"/>
    <hyperlink ref="E31" location="'Prüfprotokoll'!D28" tooltip="Zur TIP-Frage springen" display="↑ S5 Nr. 6"/>
    <hyperlink ref="E32" location="'Prüfprotokoll'!D28" tooltip="Zur TIP-Frage springen" display="↑ S5 Nr. 6, 7"/>
    <hyperlink ref="E33" location="'Prüfprotokoll'!D29" tooltip="Zur TIP-Frage springen" display="↑ S5 Nr. 7"/>
    <hyperlink ref="E36" location="'Prüfprotokoll'!D39" tooltip="Zur zugehörigen Prüfanleitung springen" display="↓ PA 13"/>
    <hyperlink ref="E37" location="'Prüfprotokoll'!D40" tooltip="Zur zugehörigen Prüfanleitung springen" display="↓ PA 14"/>
    <hyperlink ref="E39" location="'Prüfprotokoll'!D36" tooltip="Zur TIP-Frage springen" display="↑ S5 Nr. 9"/>
    <hyperlink ref="E40" location="'Prüfprotokoll'!D37" tooltip="Zur TIP-Frage springen" display="↑ S5 Nr. 10"/>
    <hyperlink ref="E43" location="'Prüfprotokoll'!D49" tooltip="Zur zugehörigen Prüfanleitung springen" display="↓ PA 15"/>
    <hyperlink ref="E44" location="'Prüfprotokoll'!D50" tooltip="Zur zugehörigen Prüfanleitung springen" display="↓ PA 16"/>
    <hyperlink ref="E45" location="'Prüfprotokoll'!D51" tooltip="Zur zugehörigen Prüfanleitung springen" display="↓ PA 17"/>
    <hyperlink ref="E46" location="'Prüfprotokoll'!D52" tooltip="Zur zugehörigen Prüfanleitung springen" display="↓ PA 18"/>
    <hyperlink ref="E47" location="'Prüfprotokoll'!D53" tooltip="Zur zugehörigen Prüfanleitung springen" display="↓ PA 19"/>
    <hyperlink ref="E49" location="'Prüfprotokoll'!D43" tooltip="Zur TIP-Frage springen" display="↑ S5 Nr. 8"/>
    <hyperlink ref="E50" location="'Prüfprotokoll'!D44" tooltip="Zur TIP-Frage springen" display="↑ S5 Nr. 11"/>
    <hyperlink ref="E51" location="'Prüfprotokoll'!D45" tooltip="Zur TIP-Frage springen" display="↑ S5 Nr. 12"/>
    <hyperlink ref="E52" location="'Prüfprotokoll'!D46" tooltip="Zur TIP-Frage springen" display="↑ S5 Nr. 14"/>
    <hyperlink ref="E53" location="'Prüfprotokoll'!D47" tooltip="Zur TIP-Frage springen" display="↑ S5 Nr. 15"/>
  </hyperlinks>
  <pageMargins left="0.4" right="0.4" top="0.6" bottom="0.6" header="0.3" footer="0.3"/>
  <pageSetup paperSize="9" fitToHeight="0" orientation="landscape"/>
  <headerFooter>
    <oddHeader>&amp;L&amp;8Hitachi Rail · Interne Abnahmeprüfung&amp;R&amp;8Prüfprotokoll DCA (S5 + Prüfanleitung)</oddHeader>
    <oddFooter>&amp;L&amp;8Template Ausgabe 01&amp;R&amp;8Seite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I36"/>
  <sheetViews>
    <sheetView workbookViewId="0"/>
  </sheetViews>
  <sheetFormatPr defaultRowHeight="15"/>
  <cols>
    <col min="1" max="1" width="3.7109375" customWidth="1"/>
    <col min="2" max="2" width="48.7109375" customWidth="1"/>
    <col min="3" max="9" width="11.7109375" customWidth="1"/>
  </cols>
  <sheetData>
    <row r="2" spans="2:9">
      <c r="B2" s="12" t="s">
        <v>162</v>
      </c>
    </row>
    <row r="4" spans="2:9">
      <c r="B4" s="5" t="s">
        <v>163</v>
      </c>
      <c r="C4" s="5" t="s">
        <v>14</v>
      </c>
      <c r="D4" s="5" t="s">
        <v>27</v>
      </c>
      <c r="E4" s="5" t="s">
        <v>7</v>
      </c>
      <c r="F4" s="5" t="s">
        <v>8</v>
      </c>
      <c r="G4" s="5" t="s">
        <v>9</v>
      </c>
      <c r="H4" s="5" t="s">
        <v>164</v>
      </c>
      <c r="I4" s="5" t="s">
        <v>165</v>
      </c>
    </row>
    <row r="5" spans="2:9">
      <c r="B5" s="11" t="s">
        <v>12</v>
      </c>
      <c r="C5" s="20">
        <f>COUNTIF('Prüfprotokoll'!B6:B18,"TIP S5")</f>
        <v>0</v>
      </c>
      <c r="D5" s="20">
        <f>COUNTIF('Prüfprotokoll'!B6:B18,"PA")</f>
        <v>0</v>
      </c>
      <c r="E5" s="20">
        <f>COUNTIF('Prüfprotokoll'!F6:F18,TRUE)</f>
        <v>0</v>
      </c>
      <c r="F5" s="20">
        <f>COUNTIF('Prüfprotokoll'!G6:G18,TRUE)</f>
        <v>0</v>
      </c>
      <c r="G5" s="20">
        <f>COUNTIF('Prüfprotokoll'!H6:H18,TRUE)</f>
        <v>0</v>
      </c>
      <c r="H5" s="20">
        <f>COUNTIF('Prüfprotokoll'!I6:I18,"offen")</f>
        <v>0</v>
      </c>
      <c r="I5" s="20">
        <f>COUNTIF('Prüfprotokoll'!I6:I18,"mehrfach!")</f>
        <v>0</v>
      </c>
    </row>
    <row r="6" spans="2:9">
      <c r="B6" s="11" t="s">
        <v>47</v>
      </c>
      <c r="C6" s="20">
        <f>COUNTIF('Prüfprotokoll'!B20:B25,"TIP S5")</f>
        <v>0</v>
      </c>
      <c r="D6" s="20">
        <f>COUNTIF('Prüfprotokoll'!B20:B25,"PA")</f>
        <v>0</v>
      </c>
      <c r="E6" s="20">
        <f>COUNTIF('Prüfprotokoll'!F20:F25,TRUE)</f>
        <v>0</v>
      </c>
      <c r="F6" s="20">
        <f>COUNTIF('Prüfprotokoll'!G20:G25,TRUE)</f>
        <v>0</v>
      </c>
      <c r="G6" s="20">
        <f>COUNTIF('Prüfprotokoll'!H20:H25,TRUE)</f>
        <v>0</v>
      </c>
      <c r="H6" s="20">
        <f>COUNTIF('Prüfprotokoll'!I20:I25,"offen")</f>
        <v>0</v>
      </c>
      <c r="I6" s="20">
        <f>COUNTIF('Prüfprotokoll'!I20:I25,"mehrfach!")</f>
        <v>0</v>
      </c>
    </row>
    <row r="7" spans="2:9">
      <c r="B7" s="11" t="s">
        <v>62</v>
      </c>
      <c r="C7" s="20">
        <f>COUNTIF('Prüfprotokoll'!B27:B33,"TIP S5")</f>
        <v>0</v>
      </c>
      <c r="D7" s="20">
        <f>COUNTIF('Prüfprotokoll'!B27:B33,"PA")</f>
        <v>0</v>
      </c>
      <c r="E7" s="20">
        <f>COUNTIF('Prüfprotokoll'!F27:F33,TRUE)</f>
        <v>0</v>
      </c>
      <c r="F7" s="20">
        <f>COUNTIF('Prüfprotokoll'!G27:G33,TRUE)</f>
        <v>0</v>
      </c>
      <c r="G7" s="20">
        <f>COUNTIF('Prüfprotokoll'!H27:H33,TRUE)</f>
        <v>0</v>
      </c>
      <c r="H7" s="20">
        <f>COUNTIF('Prüfprotokoll'!I27:I33,"offen")</f>
        <v>0</v>
      </c>
      <c r="I7" s="20">
        <f>COUNTIF('Prüfprotokoll'!I27:I33,"mehrfach!")</f>
        <v>0</v>
      </c>
    </row>
    <row r="8" spans="2:9">
      <c r="B8" s="11" t="s">
        <v>80</v>
      </c>
      <c r="C8" s="20">
        <f>COUNTIF('Prüfprotokoll'!B35:B40,"TIP S5")</f>
        <v>0</v>
      </c>
      <c r="D8" s="20">
        <f>COUNTIF('Prüfprotokoll'!B35:B40,"PA")</f>
        <v>0</v>
      </c>
      <c r="E8" s="20">
        <f>COUNTIF('Prüfprotokoll'!F35:F40,TRUE)</f>
        <v>0</v>
      </c>
      <c r="F8" s="20">
        <f>COUNTIF('Prüfprotokoll'!G35:G40,TRUE)</f>
        <v>0</v>
      </c>
      <c r="G8" s="20">
        <f>COUNTIF('Prüfprotokoll'!H35:H40,TRUE)</f>
        <v>0</v>
      </c>
      <c r="H8" s="20">
        <f>COUNTIF('Prüfprotokoll'!I35:I40,"offen")</f>
        <v>0</v>
      </c>
      <c r="I8" s="20">
        <f>COUNTIF('Prüfprotokoll'!I35:I40,"mehrfach!")</f>
        <v>0</v>
      </c>
    </row>
    <row r="9" spans="2:9">
      <c r="B9" s="11" t="s">
        <v>95</v>
      </c>
      <c r="C9" s="20">
        <f>COUNTIF('Prüfprotokoll'!B42:B53,"TIP S5")</f>
        <v>0</v>
      </c>
      <c r="D9" s="20">
        <f>COUNTIF('Prüfprotokoll'!B42:B53,"PA")</f>
        <v>0</v>
      </c>
      <c r="E9" s="20">
        <f>COUNTIF('Prüfprotokoll'!F42:F53,TRUE)</f>
        <v>0</v>
      </c>
      <c r="F9" s="20">
        <f>COUNTIF('Prüfprotokoll'!G42:G53,TRUE)</f>
        <v>0</v>
      </c>
      <c r="G9" s="20">
        <f>COUNTIF('Prüfprotokoll'!H42:H53,TRUE)</f>
        <v>0</v>
      </c>
      <c r="H9" s="20">
        <f>COUNTIF('Prüfprotokoll'!I42:I53,"offen")</f>
        <v>0</v>
      </c>
      <c r="I9" s="20">
        <f>COUNTIF('Prüfprotokoll'!I42:I53,"mehrfach!")</f>
        <v>0</v>
      </c>
    </row>
    <row r="10" spans="2:9">
      <c r="B10" s="6" t="s">
        <v>166</v>
      </c>
      <c r="C10" s="24">
        <f>SUM(C5:C9)</f>
        <v>0</v>
      </c>
      <c r="D10" s="24">
        <f>SUM(D5:D9)</f>
        <v>0</v>
      </c>
      <c r="E10" s="24">
        <f>SUM(E5:E9)</f>
        <v>0</v>
      </c>
      <c r="F10" s="24">
        <f>SUM(F5:F9)</f>
        <v>0</v>
      </c>
      <c r="G10" s="24">
        <f>SUM(G5:G9)</f>
        <v>0</v>
      </c>
      <c r="H10" s="24">
        <f>SUM(H5:H9)</f>
        <v>0</v>
      </c>
      <c r="I10" s="24">
        <f>SUM(I5:I9)</f>
        <v>0</v>
      </c>
    </row>
    <row r="12" spans="2:9">
      <c r="B12" s="25" t="s">
        <v>167</v>
      </c>
      <c r="C12" s="20">
        <f>COUNTIFS('Prüfprotokoll'!B5:B53,"TIP S5",'Prüfprotokoll'!G5:G53,TRUE)</f>
        <v>0</v>
      </c>
    </row>
    <row r="13" spans="2:9">
      <c r="B13" s="25" t="s">
        <v>168</v>
      </c>
      <c r="C13" s="20">
        <f>COUNTIFS('Prüfprotokoll'!B5:B53,"PA",'Prüfprotokoll'!G5:G53,TRUE)</f>
        <v>0</v>
      </c>
    </row>
    <row r="15" spans="2:9">
      <c r="B15" s="5" t="s">
        <v>169</v>
      </c>
      <c r="C15" s="5"/>
      <c r="D15" s="5"/>
      <c r="E15" s="5"/>
      <c r="F15" s="5"/>
      <c r="G15" s="5"/>
      <c r="H15" s="5"/>
      <c r="I15" s="5"/>
    </row>
    <row r="16" spans="2:9">
      <c r="B16" s="6" t="s">
        <v>170</v>
      </c>
      <c r="C16" s="25">
        <f>IF(AND(H10=0,I10=0),"Ja – alle Fragen beantwortet","Nein – "&amp;H10&amp;" offen, "&amp;I10&amp;" mehrfach angehakt")</f>
        <v>0</v>
      </c>
      <c r="D16" s="11"/>
      <c r="E16" s="11"/>
      <c r="F16" s="11"/>
      <c r="G16" s="11"/>
      <c r="H16" s="11"/>
      <c r="I16" s="11"/>
    </row>
    <row r="18" spans="2:9">
      <c r="B18" s="5" t="s">
        <v>171</v>
      </c>
      <c r="C18" s="5"/>
      <c r="D18" s="5"/>
      <c r="E18" s="5"/>
      <c r="F18" s="5"/>
      <c r="G18" s="5"/>
      <c r="H18" s="5"/>
      <c r="I18" s="5"/>
    </row>
    <row r="19" spans="2:9">
      <c r="B19" s="6" t="s">
        <v>172</v>
      </c>
      <c r="C19" s="6" t="s">
        <v>173</v>
      </c>
      <c r="D19" s="6" t="s">
        <v>3</v>
      </c>
      <c r="E19" s="6" t="s">
        <v>174</v>
      </c>
      <c r="F19" s="6"/>
      <c r="G19" s="6" t="s">
        <v>175</v>
      </c>
      <c r="H19" s="6"/>
      <c r="I19" s="6" t="s">
        <v>176</v>
      </c>
    </row>
    <row r="20" spans="2:9">
      <c r="B20" s="11"/>
      <c r="C20" s="11"/>
      <c r="D20" s="11"/>
      <c r="E20" s="11"/>
      <c r="F20" s="11"/>
      <c r="G20" s="11"/>
      <c r="H20" s="11"/>
      <c r="I20" s="26" t="b">
        <v>0</v>
      </c>
    </row>
    <row r="21" spans="2:9">
      <c r="B21" s="11"/>
      <c r="C21" s="11"/>
      <c r="D21" s="11"/>
      <c r="E21" s="11"/>
      <c r="F21" s="11"/>
      <c r="G21" s="11"/>
      <c r="H21" s="11"/>
      <c r="I21" s="26" t="b">
        <v>0</v>
      </c>
    </row>
    <row r="22" spans="2:9">
      <c r="B22" s="11"/>
      <c r="C22" s="11"/>
      <c r="D22" s="11"/>
      <c r="E22" s="11"/>
      <c r="F22" s="11"/>
      <c r="G22" s="11"/>
      <c r="H22" s="11"/>
      <c r="I22" s="26" t="b">
        <v>0</v>
      </c>
    </row>
    <row r="23" spans="2:9">
      <c r="B23" s="11"/>
      <c r="C23" s="11"/>
      <c r="D23" s="11"/>
      <c r="E23" s="11"/>
      <c r="F23" s="11"/>
      <c r="G23" s="11"/>
      <c r="H23" s="11"/>
      <c r="I23" s="26" t="b">
        <v>0</v>
      </c>
    </row>
    <row r="24" spans="2:9">
      <c r="B24" s="11"/>
      <c r="C24" s="11"/>
      <c r="D24" s="11"/>
      <c r="E24" s="11"/>
      <c r="F24" s="11"/>
      <c r="G24" s="11"/>
      <c r="H24" s="11"/>
      <c r="I24" s="26" t="b">
        <v>0</v>
      </c>
    </row>
    <row r="25" spans="2:9">
      <c r="B25" s="11"/>
      <c r="C25" s="11"/>
      <c r="D25" s="11"/>
      <c r="E25" s="11"/>
      <c r="F25" s="11"/>
      <c r="G25" s="11"/>
      <c r="H25" s="11"/>
      <c r="I25" s="26" t="b">
        <v>0</v>
      </c>
    </row>
    <row r="26" spans="2:9">
      <c r="B26" s="11"/>
      <c r="C26" s="11"/>
      <c r="D26" s="11"/>
      <c r="E26" s="11"/>
      <c r="F26" s="11"/>
      <c r="G26" s="11"/>
      <c r="H26" s="11"/>
      <c r="I26" s="26" t="b">
        <v>0</v>
      </c>
    </row>
    <row r="27" spans="2:9">
      <c r="B27" s="11"/>
      <c r="C27" s="11"/>
      <c r="D27" s="11"/>
      <c r="E27" s="11"/>
      <c r="F27" s="11"/>
      <c r="G27" s="11"/>
      <c r="H27" s="11"/>
      <c r="I27" s="26" t="b">
        <v>0</v>
      </c>
    </row>
    <row r="28" spans="2:9">
      <c r="B28" s="11"/>
      <c r="C28" s="11"/>
      <c r="D28" s="11"/>
      <c r="E28" s="11"/>
      <c r="F28" s="11"/>
      <c r="G28" s="11"/>
      <c r="H28" s="11"/>
      <c r="I28" s="26" t="b">
        <v>0</v>
      </c>
    </row>
    <row r="29" spans="2:9">
      <c r="B29" s="11"/>
      <c r="C29" s="11"/>
      <c r="D29" s="11"/>
      <c r="E29" s="11"/>
      <c r="F29" s="11"/>
      <c r="G29" s="11"/>
      <c r="H29" s="11"/>
      <c r="I29" s="26" t="b">
        <v>0</v>
      </c>
    </row>
    <row r="31" spans="2:9">
      <c r="B31" s="5" t="s">
        <v>177</v>
      </c>
      <c r="C31" s="5"/>
      <c r="D31" s="5"/>
      <c r="E31" s="5"/>
      <c r="F31" s="5"/>
      <c r="G31" s="5"/>
      <c r="H31" s="5"/>
      <c r="I31" s="5"/>
    </row>
    <row r="32" spans="2:9">
      <c r="B32" s="6"/>
      <c r="C32" s="6" t="s">
        <v>140</v>
      </c>
      <c r="D32" s="6"/>
      <c r="E32" s="6"/>
      <c r="F32" s="6"/>
      <c r="G32" s="6" t="s">
        <v>178</v>
      </c>
      <c r="H32" s="6"/>
      <c r="I32" s="6"/>
    </row>
    <row r="33" spans="2:9" ht="26" customHeight="1">
      <c r="B33" s="6" t="s">
        <v>179</v>
      </c>
      <c r="C33" s="7"/>
      <c r="D33" s="7"/>
      <c r="E33" s="7"/>
      <c r="F33" s="7"/>
      <c r="G33" s="7"/>
      <c r="H33" s="7"/>
      <c r="I33" s="7"/>
    </row>
    <row r="34" spans="2:9" ht="26" customHeight="1">
      <c r="B34" s="6" t="s">
        <v>180</v>
      </c>
      <c r="C34" s="7"/>
      <c r="D34" s="7"/>
      <c r="E34" s="7"/>
      <c r="F34" s="7"/>
      <c r="G34" s="7"/>
      <c r="H34" s="7"/>
      <c r="I34" s="7"/>
    </row>
    <row r="35" spans="2:9" ht="26" customHeight="1">
      <c r="B35" s="6" t="s">
        <v>141</v>
      </c>
      <c r="C35" s="7"/>
      <c r="D35" s="7"/>
      <c r="E35" s="7"/>
      <c r="F35" s="7"/>
      <c r="G35" s="7"/>
      <c r="H35" s="7"/>
      <c r="I35" s="7"/>
    </row>
    <row r="36" spans="2:9" ht="26" customHeight="1">
      <c r="B36" s="6" t="s">
        <v>181</v>
      </c>
      <c r="C36" s="7"/>
      <c r="D36" s="7"/>
      <c r="E36" s="7"/>
      <c r="F36" s="7"/>
      <c r="G36" s="7"/>
      <c r="H36" s="7"/>
      <c r="I36" s="7"/>
    </row>
  </sheetData>
  <mergeCells count="36">
    <mergeCell ref="B15:I15"/>
    <mergeCell ref="C16:I16"/>
    <mergeCell ref="B18:I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B31:I31"/>
    <mergeCell ref="C32:F32"/>
    <mergeCell ref="G32:I32"/>
    <mergeCell ref="C33:F33"/>
    <mergeCell ref="G33:I33"/>
    <mergeCell ref="C34:F34"/>
    <mergeCell ref="G34:I34"/>
    <mergeCell ref="C35:F35"/>
    <mergeCell ref="G35:I35"/>
    <mergeCell ref="C36:F36"/>
    <mergeCell ref="G36:I36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Deckblatt</vt:lpstr>
      <vt:lpstr>Prüfprotokoll</vt:lpstr>
      <vt:lpstr>Ergebnis</vt:lpstr>
      <vt:lpstr>Prüfprotokoll!Print_Titles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Prüfprotokoll DCA – TIP S5 – Software DCA</dc:title>
  <dc:creator>Hitachi Rail – Interne Abnahmeprüfung</dc:creator>
  <cp:lastModifiedBy>Hitachi Rail – Interne Abnahmeprüfung</cp:lastModifiedBy>
  <dcterms:created xsi:type="dcterms:W3CDTF">2026-10-08T16:35:11Z</dcterms:created>
  <dcterms:modified xsi:type="dcterms:W3CDTF">2026-10-08T16:35:11Z</dcterms:modified>
</cp:coreProperties>
</file>