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kblatt" sheetId="1" r:id="rId1"/>
    <sheet name="Prüfprotokoll" sheetId="2" r:id="rId2"/>
    <sheet name="Ergebnis" sheetId="3" r:id="rId3"/>
  </sheets>
  <definedNames>
    <definedName name="_xlnm._FilterDatabase" localSheetId="1" hidden="1">Prüfprotokoll!$A$4:$J$78</definedName>
    <definedName name="_xlnm.Print_Titles" localSheetId="1">Prüfprotokoll!$4:$4</definedName>
  </definedNames>
  <calcPr calcId="124519" fullCalcOnLoad="1"/>
</workbook>
</file>

<file path=xl/sharedStrings.xml><?xml version="1.0" encoding="utf-8"?>
<sst xmlns="http://schemas.openxmlformats.org/spreadsheetml/2006/main" count="323" uniqueCount="239">
  <si>
    <t>Prüfprotokoll RBC – TIP S6 – Software RBC und Prüfanleitung</t>
  </si>
  <si>
    <t>ESTW L90 · DB InfraGO · Prüfgrundlagen: TIP S6 (Template-Ausg. 01), VA Prüfung projektierter Daten / Differenzprüfung (ETCS L2), Schulungsunterlage · Projektdaten und Anleitung: Blatt „Deckblatt“</t>
  </si>
  <si>
    <t>Nr.</t>
  </si>
  <si>
    <t>Herkunft</t>
  </si>
  <si>
    <t>TIP-Nr. / PA</t>
  </si>
  <si>
    <t>Prüffrage</t>
  </si>
  <si>
    <t>Bezug (Link)</t>
  </si>
  <si>
    <t>i. O.</t>
  </si>
  <si>
    <t>n. i. O.</t>
  </si>
  <si>
    <t>n. z.</t>
  </si>
  <si>
    <t>Status</t>
  </si>
  <si>
    <t>Bemerkung / Prüfbuch-Nr.</t>
  </si>
  <si>
    <t>2  Projektierungsdaten (Safe Location Data, STR-File)</t>
  </si>
  <si>
    <t>TIP S6 – Projektierungsdaten</t>
  </si>
  <si>
    <t>TIP S6</t>
  </si>
  <si>
    <t>Nr. 1</t>
  </si>
  <si>
    <t>Sind im Safe Location Data-File alle Werte nach Vorgabe projektiert?</t>
  </si>
  <si>
    <t>↓ PA 1</t>
  </si>
  <si>
    <t>Nr. 2</t>
  </si>
  <si>
    <t>Sind im STR-File alle Elemente (Weichen, Signale, Balisen, Prellböcke, Bahnsteige) nach Planungsunterlage projektiert?</t>
  </si>
  <si>
    <t>↓ PA 2 (+4)</t>
  </si>
  <si>
    <t>Nr. 3</t>
  </si>
  <si>
    <t>Sind im STR-File alle Streckeneigenschaften (Geschwindigkeit, Gradienten, Kilometrierungen, Schutzstrecken etc.) nach Planungsunterlage projektiert?</t>
  </si>
  <si>
    <t>↓ PA 7 (+3)</t>
  </si>
  <si>
    <t>Nr. 4</t>
  </si>
  <si>
    <t>Sind im STR-File alle funktionalen Streckenbereiche (Trusted Areas, SoM Areas etc.) nach Vorgabe projektiert?</t>
  </si>
  <si>
    <t>↓ PA 11 (+1)</t>
  </si>
  <si>
    <t>Nr. 15</t>
  </si>
  <si>
    <t>Sind alle Richtungsanzeigen korrekt projektiert?</t>
  </si>
  <si>
    <t>↓ PA 13</t>
  </si>
  <si>
    <t>Nr. 16</t>
  </si>
  <si>
    <t>Sind alle Trusted Areas korrekt projektiert?</t>
  </si>
  <si>
    <t>↓ PA 11</t>
  </si>
  <si>
    <t>Prüfanleitung – Safe Location Data</t>
  </si>
  <si>
    <t>PA</t>
  </si>
  <si>
    <t>PA 1</t>
  </si>
  <si>
    <t>SLD: Wurde jeder Wert im Safe Location Data-File gegen die Vorgabe einzeln abgehakt?</t>
  </si>
  <si>
    <t>↑ S6 Nr. 1</t>
  </si>
  <si>
    <t>Prüfanleitung – STR-File: Elemente</t>
  </si>
  <si>
    <t>PA 2</t>
  </si>
  <si>
    <t>STR Elemente: Weichen: alle nach Planungsunterlage vorhanden und korrekt?</t>
  </si>
  <si>
    <t>↑ S6 Nr. 2</t>
  </si>
  <si>
    <t>PA 3</t>
  </si>
  <si>
    <t>STR Elemente: Signale: alle nach Planungsunterlage vorhanden und korrekt?</t>
  </si>
  <si>
    <t>PA 4</t>
  </si>
  <si>
    <t>STR Elemente: Balisen: alle nach Planungsunterlage vorhanden und korrekt?</t>
  </si>
  <si>
    <t>PA 5</t>
  </si>
  <si>
    <t>STR Elemente: Prellböcke: alle nach Planungsunterlage vorhanden und korrekt?</t>
  </si>
  <si>
    <t>PA 6</t>
  </si>
  <si>
    <t>STR Elemente: Bahnsteige: alle nach Planungsunterlage vorhanden und korrekt?</t>
  </si>
  <si>
    <t>Prüfanleitung – STR-File: Streckeneigenschaften</t>
  </si>
  <si>
    <t>PA 7</t>
  </si>
  <si>
    <t>STR Strecke: Geschwindigkeiten nach Planungsunterlage?</t>
  </si>
  <si>
    <t>↑ S6 Nr. 3</t>
  </si>
  <si>
    <t>PA 8</t>
  </si>
  <si>
    <t>STR Strecke: Gradienten nach Planungsunterlage?</t>
  </si>
  <si>
    <t>PA 9</t>
  </si>
  <si>
    <t>STR Strecke: Kilometrierungen nach Planungsunterlage?</t>
  </si>
  <si>
    <t>PA 10</t>
  </si>
  <si>
    <t>STR Strecke: Schutzstrecken und weitere Streckeneigenschaften nach Planungsunterlage?</t>
  </si>
  <si>
    <t>Prüfanleitung – Funktionale Bereiche</t>
  </si>
  <si>
    <t>PA 11</t>
  </si>
  <si>
    <t>STR Bereiche: Trusted Areas: Ausdehnung und Zuordnung nach Vorgabe?</t>
  </si>
  <si>
    <t>↑ S6 Nr. 4, 16</t>
  </si>
  <si>
    <t>PA 12</t>
  </si>
  <si>
    <t>STR Bereiche: SoM Areas und weitere funktionale Bereiche nach Vorgabe?</t>
  </si>
  <si>
    <t>↑ S6 Nr. 4</t>
  </si>
  <si>
    <t>PA 13</t>
  </si>
  <si>
    <t>Richtung: Wurde jede Richtungsanzeige gegen die Planung abgehakt?</t>
  </si>
  <si>
    <t>↑ S6 Nr. 15</t>
  </si>
  <si>
    <t>3  Version, Schnittstellen und Tools</t>
  </si>
  <si>
    <t>TIP S6 – Version und Daten</t>
  </si>
  <si>
    <t>Nr. 5</t>
  </si>
  <si>
    <t>Wurde die richtige RBC-Software für die Prüfung verwendet (VDD)?</t>
  </si>
  <si>
    <t>↓ PA 14</t>
  </si>
  <si>
    <t>Nr. 6</t>
  </si>
  <si>
    <t>Ist die Vergleichsdatei ESTW-RBC (RBCvsIXL) geprüft worden?</t>
  </si>
  <si>
    <t>↓ PA 15</t>
  </si>
  <si>
    <t>Nr. 7</t>
  </si>
  <si>
    <t>Wurde die korrekte Projektierung der Balisentelegramme geprüft und die Prüfdokumentation abgelegt?</t>
  </si>
  <si>
    <t>↓ PA 16</t>
  </si>
  <si>
    <t>TIP S6 – Schnittstellen</t>
  </si>
  <si>
    <t>Nr. 17</t>
  </si>
  <si>
    <t>Wurde die Schnittstelle ESTW-RBC geprüft für: Signale und Weichen; Dunkelschalt- und Selbststellanstöße?</t>
  </si>
  <si>
    <t>↓ PA 18 (+2)</t>
  </si>
  <si>
    <t>Nr. 18</t>
  </si>
  <si>
    <t>Wurde die Schnittstelle ESTW-RBC geprüft für: Restriktionseingabe; RBC-Freigabe?</t>
  </si>
  <si>
    <t>↓ PA 21 (+1)</t>
  </si>
  <si>
    <t>Nr. 19</t>
  </si>
  <si>
    <t>Wurde die Schnittstelle NRBC-RBC geprüft?</t>
  </si>
  <si>
    <t>Nr. 25</t>
  </si>
  <si>
    <t>Stimmen die Netzwerkparameter des Redundanzkanals mit denen im LanCop E2 überein?</t>
  </si>
  <si>
    <t>↓ PA 23</t>
  </si>
  <si>
    <t>Nr. 26</t>
  </si>
  <si>
    <t>Stimmen die IP-Adressen mit denen des LBS überein?</t>
  </si>
  <si>
    <t>↓ PA 24</t>
  </si>
  <si>
    <t>TIP S6 – Toolprüfung</t>
  </si>
  <si>
    <t>Nr. 22</t>
  </si>
  <si>
    <t>Wurden die Daten vom Balisenprüftool geprüft? Wurde durch das Tool kein Fehler gefunden bzw. wurden alle Fehler/Warnungen bewertet und als unkritisch eingestuft?</t>
  </si>
  <si>
    <t>↓ PA 16 (+1)</t>
  </si>
  <si>
    <t>Nr. 23</t>
  </si>
  <si>
    <t>Wurden die Daten vom RENT geprüft? Wurde durch das Tool kein Fehler gefunden bzw. wurden alle Fehler/Warnungen bewertet und als unkritisch eingestuft?</t>
  </si>
  <si>
    <t>↓ PA 25</t>
  </si>
  <si>
    <t>Nr. 24</t>
  </si>
  <si>
    <t>Wurden die Daten durch Rubin für Engineering of Track Data geprüft? Wurde durch das Tool kein Fehler gefunden bzw. wurden alle Fehler/Warnungen bewertet und als unkritisch eingestuft?</t>
  </si>
  <si>
    <t>Prüfanleitung – Version und Daten</t>
  </si>
  <si>
    <t>PA 14</t>
  </si>
  <si>
    <t>VDD: Ist die RBC-Softwareversion laut VDD im Prüfbuch dokumentiert und an der Testanlage verifiziert?</t>
  </si>
  <si>
    <t>↑ S6 Nr. 5</t>
  </si>
  <si>
    <t>PA 15</t>
  </si>
  <si>
    <t>RBCvsIXL: Ist der RBCvsIXL-Report abgelegt und jede Abweichung bewertet (siehe auch TIP S3 Nr. 53)?</t>
  </si>
  <si>
    <t>↑ S6 Nr. 6</t>
  </si>
  <si>
    <t>PA 16</t>
  </si>
  <si>
    <t>Balisen: Ist die Prüfdokumentation der Balisentelegramme (Festdatenbalisen) abgelegt und im Manteldokument referenziert?</t>
  </si>
  <si>
    <t>↑ S6 Nr. 7, 22</t>
  </si>
  <si>
    <t>PA 17</t>
  </si>
  <si>
    <t>GSM-R: Stimmt die GSM-R-Rufnummer des RBC im PT2 mit dem PT1 überein und ist sie innerhalb des RBC identisch?</t>
  </si>
  <si>
    <t>Prüfanleitung – Schnittstellen</t>
  </si>
  <si>
    <t>PA 18</t>
  </si>
  <si>
    <t>ESTW-RBC: Signale: Werden alle Signalzustände korrekt an das RBC übertragen?</t>
  </si>
  <si>
    <t>↑ S6 Nr. 17</t>
  </si>
  <si>
    <t>PA 19</t>
  </si>
  <si>
    <t>ESTW-RBC: Weichen: Werden alle Weichenlagen korrekt an das RBC übertragen?</t>
  </si>
  <si>
    <t>PA 20</t>
  </si>
  <si>
    <t>ESTW-RBC: Dunkelschalt- und Selbststellanstöße: an allen geforderten Signalen geprüft?</t>
  </si>
  <si>
    <t>PA 21</t>
  </si>
  <si>
    <t>ESTW-RBC: Restriktionseingabe: für alle projektierten Restriktionen geprüft?</t>
  </si>
  <si>
    <t>↑ S6 Nr. 18</t>
  </si>
  <si>
    <t>PA 22</t>
  </si>
  <si>
    <t>ESTW-RBC: RBC-Freigabe geprüft?</t>
  </si>
  <si>
    <t>PA 23</t>
  </si>
  <si>
    <t>Netzwerk: Netzwerkparameter Redundanzkanal RBC ↔ LanCop E2 abgeglichen (siehe auch TIP S1 Nr. 35)?</t>
  </si>
  <si>
    <t>↑ S6 Nr. 25</t>
  </si>
  <si>
    <t>PA 24</t>
  </si>
  <si>
    <t>Netzwerk: IP-Adressen RBC ↔ LBS abgeglichen (siehe auch TIP S3 Nr. 31)?</t>
  </si>
  <si>
    <t>↑ S6 Nr. 26</t>
  </si>
  <si>
    <t>Prüfanleitung – Toolreports</t>
  </si>
  <si>
    <t>PA 25</t>
  </si>
  <si>
    <t>Toolprüfung: Sind Balisenprüftool-, RENT- und Rubin-Report abgelegt und jede Meldung einzeln bewertet?</t>
  </si>
  <si>
    <t>↑ S6 Nr. 22, 23, 24</t>
  </si>
  <si>
    <t>4  Laborprüfung mit Simulation</t>
  </si>
  <si>
    <t>TIP S6 – Laborprüfung</t>
  </si>
  <si>
    <t>Nr. 8</t>
  </si>
  <si>
    <t>Wurde die Dokumentation der FFT-Laborprüfung Daten/Schnittstellen erstellt?</t>
  </si>
  <si>
    <t>↓ PA 31 (+1)</t>
  </si>
  <si>
    <t>Nr. 9</t>
  </si>
  <si>
    <t>Labor-Prüfung: Wurden alle Gleiskanten in beide Richtungen mit der Simulation befahren?</t>
  </si>
  <si>
    <t>↓ PA 26 (+1)</t>
  </si>
  <si>
    <t>Nr. 10</t>
  </si>
  <si>
    <t>Labor-Prüfung: Wurden alle Weichenstränge in beide Richtungen mit der Simulation befahren?</t>
  </si>
  <si>
    <t>Nr. 11</t>
  </si>
  <si>
    <t>Labor-Prüfung: Ist jedes Signal/Blockkennzeichen in Halt angefahren und die MA geprüft worden?</t>
  </si>
  <si>
    <t>↓ PA 29</t>
  </si>
  <si>
    <t>Nr. 12</t>
  </si>
  <si>
    <t>Labor-Prüfung: Wurden alle Einstiege nach ETCS geprüft?</t>
  </si>
  <si>
    <t>↓ PA 30</t>
  </si>
  <si>
    <t>Nr. 13</t>
  </si>
  <si>
    <t>Labor-Prüfung: Wurden alle Ausstiege aus ETCS geprüft?</t>
  </si>
  <si>
    <t>Nr. 14</t>
  </si>
  <si>
    <t>Labor-Prüfung: Wurden alle NRBC-Übergänge befahren?</t>
  </si>
  <si>
    <t>Nr. 20</t>
  </si>
  <si>
    <t>Wurde die Dokumentation der Abnahmefahrten und ggf. FFT-Testfahrten erstellt?</t>
  </si>
  <si>
    <t>Nr. 21</t>
  </si>
  <si>
    <t>Ist die ETCS-Bedienoberfläche geprüft worden?</t>
  </si>
  <si>
    <t>Prüfanleitung – Simulation</t>
  </si>
  <si>
    <t>PA 26</t>
  </si>
  <si>
    <t>Simulation: Wurden nur freigegebene Simulatoren (TUS, OBUSIM) und Simulationsdaten verwendet und deren Versionen im Prüfbuch dokumentiert?</t>
  </si>
  <si>
    <t>↑ S6 Nr. 9, 10</t>
  </si>
  <si>
    <t>PA 27</t>
  </si>
  <si>
    <t>Fahrten: Liegt eine Liste aller Gleiskanten vor, je Richtung als befahren abgehakt?</t>
  </si>
  <si>
    <t>↑ S6 Nr. 9</t>
  </si>
  <si>
    <t>PA 28</t>
  </si>
  <si>
    <t>Fahrten: Liegt eine Liste aller Weichenstränge vor, je Richtung als befahren abgehakt?</t>
  </si>
  <si>
    <t>↑ S6 Nr. 10</t>
  </si>
  <si>
    <t>PA 29</t>
  </si>
  <si>
    <t>Fahrten: Ist je Signal/Blockkennzeichen die Halt-Anfahrt mit geprüfter MA dokumentiert?</t>
  </si>
  <si>
    <t>↑ S6 Nr. 11</t>
  </si>
  <si>
    <t>PA 30</t>
  </si>
  <si>
    <t>Fahrten: Sind alle Ein- und Ausstiege ETCS sowie NRBC-Übergänge in einer Liste abgehakt?</t>
  </si>
  <si>
    <t>↑ S6 Nr. 12, 13, 14</t>
  </si>
  <si>
    <t>PA 31</t>
  </si>
  <si>
    <t>Dokumentation: Ist die Dokumentation der Laborprüfung (Daten/Schnittstellen) abgelegt und im Manteldokument referenziert?</t>
  </si>
  <si>
    <t>↑ S6 Nr. 8</t>
  </si>
  <si>
    <t>PA 32</t>
  </si>
  <si>
    <t>Differenz: Bei Bauzustand: Wurden Differenzen der RBC-Projektierung (Streckenatlas, Kommunikationsparameter) als SIL4 bewertet und ggf. an der Anlage nachgeprüft?</t>
  </si>
  <si>
    <t>Hitachi Rail</t>
  </si>
  <si>
    <t>Interne Abnahmeprüfung (FFT) · ITC</t>
  </si>
  <si>
    <t>Prüfprotokoll RBC</t>
  </si>
  <si>
    <t>TIP S6 – Software RBC und Prüfanleitung</t>
  </si>
  <si>
    <t>ESTW L90 · Domestic · DB InfraGO</t>
  </si>
  <si>
    <t>Projektdaten (gelbe Felder ausfüllen)</t>
  </si>
  <si>
    <t>Projektbezeichnung / PSP</t>
  </si>
  <si>
    <t>Stellwerk (UZ / ESTW-Z, Ril100)</t>
  </si>
  <si>
    <t>Bauzustand / AZ-Nr.</t>
  </si>
  <si>
    <t>Systemversionen (LBS, MEM, SM, EAM, AzLM)</t>
  </si>
  <si>
    <t>PT1-Stand laut PBL</t>
  </si>
  <si>
    <t>Neuanlage / Bauzustand (Differenz)</t>
  </si>
  <si>
    <t>Prüfer</t>
  </si>
  <si>
    <t>Datum</t>
  </si>
  <si>
    <t>Herkunft der Fragen</t>
  </si>
  <si>
    <t>Frage aus dem TIP S6 – Software RBC. Zeile hellorange. Formal verbindlich; Ergebnis 1:1 ins TIP übertragen.</t>
  </si>
  <si>
    <t>Prüfanleitung: Einzelschritt (PT1-Tabelle, Prüfdokument, Simulation), mit dem eine TIP-Frage nachgewiesen wird. Aus der Schulungsunterlage, teils auf Basis historischer Arbeitsnotizen – vor Nutzung mit aktuellem Stand abgleichen.</t>
  </si>
  <si>
    <t>Bewertung</t>
  </si>
  <si>
    <t>i. O. – in Ordnung</t>
  </si>
  <si>
    <t>TIP: Ja</t>
  </si>
  <si>
    <t>Entspricht der Vorgabe (PT1, Prüfdokument, Planung).</t>
  </si>
  <si>
    <t>n. i. O. – nicht in Ordnung</t>
  </si>
  <si>
    <t>TIP: Nein</t>
  </si>
  <si>
    <t>Abweichung im Prüfbuch erfassen, Prüfbuch-Nr. in „Bemerkung“.</t>
  </si>
  <si>
    <t>n. z. – nicht zutreffend</t>
  </si>
  <si>
    <t>TIP: als n. z. kennzeichnen</t>
  </si>
  <si>
    <t>Sachverhalt kommt nicht vor; kurz begründen.</t>
  </si>
  <si>
    <t>Bedienung der Excel-Datei</t>
  </si>
  <si>
    <t>•  Je Zeile genau ein Kästchen anhaken. „Status“ zeigt offen / erledigt / n. i. O. / mehrfach!.</t>
  </si>
  <si>
    <t>•  Eine TIP-Frage erst mit i. O. bewerten, wenn alle zugehörigen PA-Schritte i. O. oder n. z. sind.</t>
  </si>
  <si>
    <t>•  Spalte „Bezug (Link)“: TIP-Frage → erster zugehöriger PA-Schritt („+n“ = weitere); PA-Schritt → TIP-Frage. ↑ = weiter oben, ↓ = weiter unten.</t>
  </si>
  <si>
    <t>•  Filter in Spalte „Herkunft“: nur TIP- oder nur PA-Zeilen anzeigen.</t>
  </si>
  <si>
    <t>•  Nachweis der PT1-Prüfung bleibt das Abhaken im PT1 (TIP-Manteldokument, Anhang A.1).</t>
  </si>
  <si>
    <t>•  Kästchen = Zellkontrollkästchen (Microsoft 365). Ältere Excel-Versionen zeigen WAHR/FALSCH; Wert dann per Eingabe ändern.</t>
  </si>
  <si>
    <t>Ergebnis – Prüfprotokoll RBC</t>
  </si>
  <si>
    <t>Abschnitt</t>
  </si>
  <si>
    <t>offen</t>
  </si>
  <si>
    <t>mehrfach</t>
  </si>
  <si>
    <t>Summe</t>
  </si>
  <si>
    <t>Davon TIP S6 – n. i. O.</t>
  </si>
  <si>
    <t>Davon PA – n. i. O.</t>
  </si>
  <si>
    <t>Gesamtergebnis</t>
  </si>
  <si>
    <t>TIP S6 – Software RBC – alle Prüfschritte durchgeführt</t>
  </si>
  <si>
    <t>Übertrag der Abweichungen ins Prüfbuch</t>
  </si>
  <si>
    <t>Kurzbeschreibung</t>
  </si>
  <si>
    <t>Frage-Nr.</t>
  </si>
  <si>
    <t>Prüfbuch-Nr.</t>
  </si>
  <si>
    <t>Element</t>
  </si>
  <si>
    <t>Erledigt</t>
  </si>
  <si>
    <t>Unterschriften</t>
  </si>
  <si>
    <t>Freigebender</t>
  </si>
  <si>
    <t>Name (Druckbuchstaben)</t>
  </si>
  <si>
    <t>Firma (falls extern)</t>
  </si>
  <si>
    <t>Unterschrift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</si>
</sst>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2"/>
      <color rgb="FF2E75B6"/>
      <name val="Arial"/>
      <family val="2"/>
    </font>
    <font>
      <sz val="9"/>
      <color rgb="FF595959"/>
      <name val="Arial"/>
      <family val="2"/>
    </font>
    <font>
      <b/>
      <sz val="20"/>
      <color rgb="FF1F3864"/>
      <name val="Arial"/>
      <family val="2"/>
    </font>
    <font>
      <sz val="11"/>
      <color rgb="FF2E75B6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u/>
      <sz val="9"/>
      <color rgb="FF0563C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DF1E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9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">
    <dxf>
      <font>
        <b/>
        <color rgb="FF375623"/>
      </font>
      <fill>
        <patternFill>
          <bgColor rgb="FFE2EFDA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D34"/>
  <sheetViews>
    <sheetView tabSelected="1" workbookViewId="0"/>
  </sheetViews>
  <sheetFormatPr defaultRowHeight="15"/>
  <cols>
    <col min="1" max="1" width="3.7109375" customWidth="1"/>
    <col min="2" max="2" width="34.7109375" customWidth="1"/>
    <col min="3" max="3" width="22.7109375" customWidth="1"/>
    <col min="4" max="4" width="70.7109375" customWidth="1"/>
  </cols>
  <sheetData>
    <row r="2" spans="2:4">
      <c r="B2" s="1" t="s">
        <v>185</v>
      </c>
    </row>
    <row r="3" spans="2:4">
      <c r="B3" s="2" t="s">
        <v>186</v>
      </c>
    </row>
    <row r="5" spans="2:4">
      <c r="B5" s="3" t="s">
        <v>187</v>
      </c>
    </row>
    <row r="6" spans="2:4">
      <c r="B6" s="4" t="s">
        <v>188</v>
      </c>
    </row>
    <row r="7" spans="2:4">
      <c r="B7" s="2" t="s">
        <v>189</v>
      </c>
    </row>
    <row r="9" spans="2:4">
      <c r="B9" s="5" t="s">
        <v>190</v>
      </c>
      <c r="C9" s="5"/>
      <c r="D9" s="5"/>
    </row>
    <row r="10" spans="2:4">
      <c r="B10" s="6" t="s">
        <v>191</v>
      </c>
      <c r="C10" s="7"/>
      <c r="D10" s="7"/>
    </row>
    <row r="11" spans="2:4">
      <c r="B11" s="6" t="s">
        <v>192</v>
      </c>
      <c r="C11" s="7"/>
      <c r="D11" s="7"/>
    </row>
    <row r="12" spans="2:4">
      <c r="B12" s="6" t="s">
        <v>193</v>
      </c>
      <c r="C12" s="7"/>
      <c r="D12" s="7"/>
    </row>
    <row r="13" spans="2:4">
      <c r="B13" s="6" t="s">
        <v>194</v>
      </c>
      <c r="C13" s="7"/>
      <c r="D13" s="7"/>
    </row>
    <row r="14" spans="2:4">
      <c r="B14" s="6" t="s">
        <v>195</v>
      </c>
      <c r="C14" s="7"/>
      <c r="D14" s="7"/>
    </row>
    <row r="15" spans="2:4">
      <c r="B15" s="6" t="s">
        <v>196</v>
      </c>
      <c r="C15" s="7"/>
      <c r="D15" s="7"/>
    </row>
    <row r="16" spans="2:4">
      <c r="B16" s="6" t="s">
        <v>197</v>
      </c>
      <c r="C16" s="7"/>
      <c r="D16" s="7"/>
    </row>
    <row r="17" spans="2:4">
      <c r="B17" s="6" t="s">
        <v>198</v>
      </c>
      <c r="C17" s="7"/>
      <c r="D17" s="7"/>
    </row>
    <row r="19" spans="2:4">
      <c r="B19" s="5" t="s">
        <v>199</v>
      </c>
      <c r="C19" s="5"/>
      <c r="D19" s="5"/>
    </row>
    <row r="20" spans="2:4" ht="26" customHeight="1">
      <c r="B20" s="8" t="s">
        <v>14</v>
      </c>
      <c r="C20" s="9" t="s">
        <v>200</v>
      </c>
      <c r="D20" s="9"/>
    </row>
    <row r="21" spans="2:4" ht="38" customHeight="1">
      <c r="B21" s="10" t="s">
        <v>34</v>
      </c>
      <c r="C21" s="11" t="s">
        <v>201</v>
      </c>
      <c r="D21" s="11"/>
    </row>
    <row r="23" spans="2:4">
      <c r="B23" s="5" t="s">
        <v>202</v>
      </c>
      <c r="C23" s="5"/>
      <c r="D23" s="5"/>
    </row>
    <row r="24" spans="2:4">
      <c r="B24" s="6" t="s">
        <v>203</v>
      </c>
      <c r="C24" s="11" t="s">
        <v>204</v>
      </c>
      <c r="D24" s="11" t="s">
        <v>205</v>
      </c>
    </row>
    <row r="25" spans="2:4">
      <c r="B25" s="6" t="s">
        <v>206</v>
      </c>
      <c r="C25" s="11" t="s">
        <v>207</v>
      </c>
      <c r="D25" s="11" t="s">
        <v>208</v>
      </c>
    </row>
    <row r="26" spans="2:4">
      <c r="B26" s="6" t="s">
        <v>209</v>
      </c>
      <c r="C26" s="11" t="s">
        <v>210</v>
      </c>
      <c r="D26" s="11" t="s">
        <v>211</v>
      </c>
    </row>
    <row r="28" spans="2:4">
      <c r="B28" s="5" t="s">
        <v>212</v>
      </c>
      <c r="C28" s="5"/>
      <c r="D28" s="5"/>
    </row>
    <row r="29" spans="2:4" ht="26" customHeight="1">
      <c r="B29" s="11" t="s">
        <v>213</v>
      </c>
      <c r="C29" s="11"/>
      <c r="D29" s="11"/>
    </row>
    <row r="30" spans="2:4" ht="26" customHeight="1">
      <c r="B30" s="11" t="s">
        <v>214</v>
      </c>
      <c r="C30" s="11"/>
      <c r="D30" s="11"/>
    </row>
    <row r="31" spans="2:4" ht="26" customHeight="1">
      <c r="B31" s="11" t="s">
        <v>215</v>
      </c>
      <c r="C31" s="11"/>
      <c r="D31" s="11"/>
    </row>
    <row r="32" spans="2:4" ht="26" customHeight="1">
      <c r="B32" s="11" t="s">
        <v>216</v>
      </c>
      <c r="C32" s="11"/>
      <c r="D32" s="11"/>
    </row>
    <row r="33" spans="2:4" ht="26" customHeight="1">
      <c r="B33" s="11" t="s">
        <v>217</v>
      </c>
      <c r="C33" s="11"/>
      <c r="D33" s="11"/>
    </row>
    <row r="34" spans="2:4" ht="26" customHeight="1">
      <c r="B34" s="11" t="s">
        <v>218</v>
      </c>
      <c r="C34" s="11"/>
      <c r="D34" s="11"/>
    </row>
  </sheetData>
  <mergeCells count="20"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B19:D19"/>
    <mergeCell ref="C20:D20"/>
    <mergeCell ref="C21:D21"/>
    <mergeCell ref="B23:D23"/>
    <mergeCell ref="B28:D28"/>
    <mergeCell ref="B29:D29"/>
    <mergeCell ref="B30:D30"/>
    <mergeCell ref="B31:D31"/>
    <mergeCell ref="B32:D32"/>
    <mergeCell ref="B33:D33"/>
    <mergeCell ref="B34:D34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7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10.7109375" customWidth="1"/>
    <col min="4" max="4" width="70.7109375" customWidth="1"/>
    <col min="5" max="5" width="15.7109375" customWidth="1"/>
    <col min="6" max="8" width="7.28515625" customWidth="1"/>
    <col min="9" max="9" width="11.7109375" customWidth="1"/>
    <col min="10" max="10" width="34.7109375" customWidth="1"/>
  </cols>
  <sheetData>
    <row r="1" spans="1:10">
      <c r="A1" s="12" t="s">
        <v>0</v>
      </c>
    </row>
    <row r="2" spans="1:10">
      <c r="A2" s="2" t="s">
        <v>1</v>
      </c>
    </row>
    <row r="4" spans="1:10" ht="3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20" customHeight="1">
      <c r="A5" s="13" t="s">
        <v>12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4" t="s">
        <v>13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15.5" customHeight="1">
      <c r="A7" s="15">
        <v>1</v>
      </c>
      <c r="B7" s="8" t="s">
        <v>14</v>
      </c>
      <c r="C7" s="15" t="s">
        <v>15</v>
      </c>
      <c r="D7" s="9" t="s">
        <v>16</v>
      </c>
      <c r="E7" s="16" t="s">
        <v>17</v>
      </c>
      <c r="F7" s="17" t="b">
        <v>0</v>
      </c>
      <c r="G7" s="17" t="b">
        <v>0</v>
      </c>
      <c r="H7" s="17" t="b">
        <v>0</v>
      </c>
      <c r="I7" s="18" t="str">
        <f>IF(COUNTIF(F7:H7,TRUE)=0,"offen",IF(COUNTIF(F7:H7,TRUE)&gt;1,"mehrfach!",IF(G7=TRUE,"n. i. O.","erledigt")))</f>
        <v>offen</v>
      </c>
      <c r="J7" s="9"/>
    </row>
    <row r="8" spans="1:10" ht="28" customHeight="1">
      <c r="A8" s="15">
        <v>2</v>
      </c>
      <c r="B8" s="8" t="s">
        <v>14</v>
      </c>
      <c r="C8" s="15" t="s">
        <v>18</v>
      </c>
      <c r="D8" s="9" t="s">
        <v>19</v>
      </c>
      <c r="E8" s="16" t="s">
        <v>20</v>
      </c>
      <c r="F8" s="17" t="b">
        <v>0</v>
      </c>
      <c r="G8" s="17" t="b">
        <v>0</v>
      </c>
      <c r="H8" s="17" t="b">
        <v>0</v>
      </c>
      <c r="I8" s="18" t="str">
        <f>IF(COUNTIF(F8:H8,TRUE)=0,"offen",IF(COUNTIF(F8:H8,TRUE)&gt;1,"mehrfach!",IF(G8=TRUE,"n. i. O.","erledigt")))</f>
        <v>offen</v>
      </c>
      <c r="J8" s="9"/>
    </row>
    <row r="9" spans="1:10" ht="28" customHeight="1">
      <c r="A9" s="15">
        <v>3</v>
      </c>
      <c r="B9" s="8" t="s">
        <v>14</v>
      </c>
      <c r="C9" s="15" t="s">
        <v>21</v>
      </c>
      <c r="D9" s="9" t="s">
        <v>22</v>
      </c>
      <c r="E9" s="16" t="s">
        <v>23</v>
      </c>
      <c r="F9" s="17" t="b">
        <v>0</v>
      </c>
      <c r="G9" s="17" t="b">
        <v>0</v>
      </c>
      <c r="H9" s="17" t="b">
        <v>0</v>
      </c>
      <c r="I9" s="18" t="str">
        <f>IF(COUNTIF(F9:H9,TRUE)=0,"offen",IF(COUNTIF(F9:H9,TRUE)&gt;1,"mehrfach!",IF(G9=TRUE,"n. i. O.","erledigt")))</f>
        <v>offen</v>
      </c>
      <c r="J9" s="9"/>
    </row>
    <row r="10" spans="1:10" ht="28" customHeight="1">
      <c r="A10" s="15">
        <v>4</v>
      </c>
      <c r="B10" s="8" t="s">
        <v>14</v>
      </c>
      <c r="C10" s="15" t="s">
        <v>24</v>
      </c>
      <c r="D10" s="9" t="s">
        <v>25</v>
      </c>
      <c r="E10" s="16" t="s">
        <v>26</v>
      </c>
      <c r="F10" s="17" t="b">
        <v>0</v>
      </c>
      <c r="G10" s="17" t="b">
        <v>0</v>
      </c>
      <c r="H10" s="17" t="b">
        <v>0</v>
      </c>
      <c r="I10" s="18" t="str">
        <f>IF(COUNTIF(F10:H10,TRUE)=0,"offen",IF(COUNTIF(F10:H10,TRUE)&gt;1,"mehrfach!",IF(G10=TRUE,"n. i. O.","erledigt")))</f>
        <v>offen</v>
      </c>
      <c r="J10" s="9"/>
    </row>
    <row r="11" spans="1:10" ht="15.5" customHeight="1">
      <c r="A11" s="15">
        <v>5</v>
      </c>
      <c r="B11" s="8" t="s">
        <v>14</v>
      </c>
      <c r="C11" s="15" t="s">
        <v>27</v>
      </c>
      <c r="D11" s="9" t="s">
        <v>28</v>
      </c>
      <c r="E11" s="16" t="s">
        <v>29</v>
      </c>
      <c r="F11" s="17" t="b">
        <v>0</v>
      </c>
      <c r="G11" s="17" t="b">
        <v>0</v>
      </c>
      <c r="H11" s="17" t="b">
        <v>0</v>
      </c>
      <c r="I11" s="18" t="str">
        <f>IF(COUNTIF(F11:H11,TRUE)=0,"offen",IF(COUNTIF(F11:H11,TRUE)&gt;1,"mehrfach!",IF(G11=TRUE,"n. i. O.","erledigt")))</f>
        <v>offen</v>
      </c>
      <c r="J11" s="9"/>
    </row>
    <row r="12" spans="1:10" ht="15.5" customHeight="1">
      <c r="A12" s="15">
        <v>6</v>
      </c>
      <c r="B12" s="8" t="s">
        <v>14</v>
      </c>
      <c r="C12" s="15" t="s">
        <v>30</v>
      </c>
      <c r="D12" s="9" t="s">
        <v>31</v>
      </c>
      <c r="E12" s="16" t="s">
        <v>32</v>
      </c>
      <c r="F12" s="17" t="b">
        <v>0</v>
      </c>
      <c r="G12" s="17" t="b">
        <v>0</v>
      </c>
      <c r="H12" s="17" t="b">
        <v>0</v>
      </c>
      <c r="I12" s="18" t="str">
        <f>IF(COUNTIF(F12:H12,TRUE)=0,"offen",IF(COUNTIF(F12:H12,TRUE)&gt;1,"mehrfach!",IF(G12=TRUE,"n. i. O.","erledigt")))</f>
        <v>offen</v>
      </c>
      <c r="J12" s="9"/>
    </row>
    <row r="13" spans="1:10">
      <c r="A13" s="19" t="s">
        <v>33</v>
      </c>
      <c r="B13" s="19"/>
      <c r="C13" s="19"/>
      <c r="D13" s="19"/>
      <c r="E13" s="19"/>
      <c r="F13" s="19"/>
      <c r="G13" s="19"/>
      <c r="H13" s="19"/>
      <c r="I13" s="19"/>
      <c r="J13" s="19"/>
    </row>
    <row r="14" spans="1:10" ht="15.5" customHeight="1">
      <c r="A14" s="20">
        <v>7</v>
      </c>
      <c r="B14" s="10" t="s">
        <v>34</v>
      </c>
      <c r="C14" s="20" t="s">
        <v>35</v>
      </c>
      <c r="D14" s="11" t="s">
        <v>36</v>
      </c>
      <c r="E14" s="21" t="s">
        <v>37</v>
      </c>
      <c r="F14" s="22" t="b">
        <v>0</v>
      </c>
      <c r="G14" s="22" t="b">
        <v>0</v>
      </c>
      <c r="H14" s="22" t="b">
        <v>0</v>
      </c>
      <c r="I14" s="23" t="str">
        <f>IF(COUNTIF(F14:H14,TRUE)=0,"offen",IF(COUNTIF(F14:H14,TRUE)&gt;1,"mehrfach!",IF(G14=TRUE,"n. i. O.","erledigt")))</f>
        <v>offen</v>
      </c>
      <c r="J14" s="11"/>
    </row>
    <row r="15" spans="1:10">
      <c r="A15" s="19" t="s">
        <v>38</v>
      </c>
      <c r="B15" s="19"/>
      <c r="C15" s="19"/>
      <c r="D15" s="19"/>
      <c r="E15" s="19"/>
      <c r="F15" s="19"/>
      <c r="G15" s="19"/>
      <c r="H15" s="19"/>
      <c r="I15" s="19"/>
      <c r="J15" s="19"/>
    </row>
    <row r="16" spans="1:10" ht="15.5" customHeight="1">
      <c r="A16" s="20">
        <v>8</v>
      </c>
      <c r="B16" s="10" t="s">
        <v>34</v>
      </c>
      <c r="C16" s="20" t="s">
        <v>39</v>
      </c>
      <c r="D16" s="11" t="s">
        <v>40</v>
      </c>
      <c r="E16" s="21" t="s">
        <v>41</v>
      </c>
      <c r="F16" s="22" t="b">
        <v>0</v>
      </c>
      <c r="G16" s="22" t="b">
        <v>0</v>
      </c>
      <c r="H16" s="22" t="b">
        <v>0</v>
      </c>
      <c r="I16" s="23" t="str">
        <f>IF(COUNTIF(F16:H16,TRUE)=0,"offen",IF(COUNTIF(F16:H16,TRUE)&gt;1,"mehrfach!",IF(G16=TRUE,"n. i. O.","erledigt")))</f>
        <v>offen</v>
      </c>
      <c r="J16" s="11"/>
    </row>
    <row r="17" spans="1:10" ht="15.5" customHeight="1">
      <c r="A17" s="20">
        <v>9</v>
      </c>
      <c r="B17" s="10" t="s">
        <v>34</v>
      </c>
      <c r="C17" s="20" t="s">
        <v>42</v>
      </c>
      <c r="D17" s="11" t="s">
        <v>43</v>
      </c>
      <c r="E17" s="21" t="s">
        <v>41</v>
      </c>
      <c r="F17" s="22" t="b">
        <v>0</v>
      </c>
      <c r="G17" s="22" t="b">
        <v>0</v>
      </c>
      <c r="H17" s="22" t="b">
        <v>0</v>
      </c>
      <c r="I17" s="23" t="str">
        <f>IF(COUNTIF(F17:H17,TRUE)=0,"offen",IF(COUNTIF(F17:H17,TRUE)&gt;1,"mehrfach!",IF(G17=TRUE,"n. i. O.","erledigt")))</f>
        <v>offen</v>
      </c>
      <c r="J17" s="11"/>
    </row>
    <row r="18" spans="1:10" ht="15.5" customHeight="1">
      <c r="A18" s="20">
        <v>10</v>
      </c>
      <c r="B18" s="10" t="s">
        <v>34</v>
      </c>
      <c r="C18" s="20" t="s">
        <v>44</v>
      </c>
      <c r="D18" s="11" t="s">
        <v>45</v>
      </c>
      <c r="E18" s="21" t="s">
        <v>41</v>
      </c>
      <c r="F18" s="22" t="b">
        <v>0</v>
      </c>
      <c r="G18" s="22" t="b">
        <v>0</v>
      </c>
      <c r="H18" s="22" t="b">
        <v>0</v>
      </c>
      <c r="I18" s="23" t="str">
        <f>IF(COUNTIF(F18:H18,TRUE)=0,"offen",IF(COUNTIF(F18:H18,TRUE)&gt;1,"mehrfach!",IF(G18=TRUE,"n. i. O.","erledigt")))</f>
        <v>offen</v>
      </c>
      <c r="J18" s="11"/>
    </row>
    <row r="19" spans="1:10" ht="15.5" customHeight="1">
      <c r="A19" s="20">
        <v>11</v>
      </c>
      <c r="B19" s="10" t="s">
        <v>34</v>
      </c>
      <c r="C19" s="20" t="s">
        <v>46</v>
      </c>
      <c r="D19" s="11" t="s">
        <v>47</v>
      </c>
      <c r="E19" s="21" t="s">
        <v>41</v>
      </c>
      <c r="F19" s="22" t="b">
        <v>0</v>
      </c>
      <c r="G19" s="22" t="b">
        <v>0</v>
      </c>
      <c r="H19" s="22" t="b">
        <v>0</v>
      </c>
      <c r="I19" s="23" t="str">
        <f>IF(COUNTIF(F19:H19,TRUE)=0,"offen",IF(COUNTIF(F19:H19,TRUE)&gt;1,"mehrfach!",IF(G19=TRUE,"n. i. O.","erledigt")))</f>
        <v>offen</v>
      </c>
      <c r="J19" s="11"/>
    </row>
    <row r="20" spans="1:10" ht="15.5" customHeight="1">
      <c r="A20" s="20">
        <v>12</v>
      </c>
      <c r="B20" s="10" t="s">
        <v>34</v>
      </c>
      <c r="C20" s="20" t="s">
        <v>48</v>
      </c>
      <c r="D20" s="11" t="s">
        <v>49</v>
      </c>
      <c r="E20" s="21" t="s">
        <v>41</v>
      </c>
      <c r="F20" s="22" t="b">
        <v>0</v>
      </c>
      <c r="G20" s="22" t="b">
        <v>0</v>
      </c>
      <c r="H20" s="22" t="b">
        <v>0</v>
      </c>
      <c r="I20" s="23" t="str">
        <f>IF(COUNTIF(F20:H20,TRUE)=0,"offen",IF(COUNTIF(F20:H20,TRUE)&gt;1,"mehrfach!",IF(G20=TRUE,"n. i. O.","erledigt")))</f>
        <v>offen</v>
      </c>
      <c r="J20" s="11"/>
    </row>
    <row r="21" spans="1:10">
      <c r="A21" s="19" t="s">
        <v>50</v>
      </c>
      <c r="B21" s="19"/>
      <c r="C21" s="19"/>
      <c r="D21" s="19"/>
      <c r="E21" s="19"/>
      <c r="F21" s="19"/>
      <c r="G21" s="19"/>
      <c r="H21" s="19"/>
      <c r="I21" s="19"/>
      <c r="J21" s="19"/>
    </row>
    <row r="22" spans="1:10" ht="15.5" customHeight="1">
      <c r="A22" s="20">
        <v>13</v>
      </c>
      <c r="B22" s="10" t="s">
        <v>34</v>
      </c>
      <c r="C22" s="20" t="s">
        <v>51</v>
      </c>
      <c r="D22" s="11" t="s">
        <v>52</v>
      </c>
      <c r="E22" s="21" t="s">
        <v>53</v>
      </c>
      <c r="F22" s="22" t="b">
        <v>0</v>
      </c>
      <c r="G22" s="22" t="b">
        <v>0</v>
      </c>
      <c r="H22" s="22" t="b">
        <v>0</v>
      </c>
      <c r="I22" s="23" t="str">
        <f>IF(COUNTIF(F22:H22,TRUE)=0,"offen",IF(COUNTIF(F22:H22,TRUE)&gt;1,"mehrfach!",IF(G22=TRUE,"n. i. O.","erledigt")))</f>
        <v>offen</v>
      </c>
      <c r="J22" s="11"/>
    </row>
    <row r="23" spans="1:10" ht="15.5" customHeight="1">
      <c r="A23" s="20">
        <v>14</v>
      </c>
      <c r="B23" s="10" t="s">
        <v>34</v>
      </c>
      <c r="C23" s="20" t="s">
        <v>54</v>
      </c>
      <c r="D23" s="11" t="s">
        <v>55</v>
      </c>
      <c r="E23" s="21" t="s">
        <v>53</v>
      </c>
      <c r="F23" s="22" t="b">
        <v>0</v>
      </c>
      <c r="G23" s="22" t="b">
        <v>0</v>
      </c>
      <c r="H23" s="22" t="b">
        <v>0</v>
      </c>
      <c r="I23" s="23" t="str">
        <f>IF(COUNTIF(F23:H23,TRUE)=0,"offen",IF(COUNTIF(F23:H23,TRUE)&gt;1,"mehrfach!",IF(G23=TRUE,"n. i. O.","erledigt")))</f>
        <v>offen</v>
      </c>
      <c r="J23" s="11"/>
    </row>
    <row r="24" spans="1:10" ht="15.5" customHeight="1">
      <c r="A24" s="20">
        <v>15</v>
      </c>
      <c r="B24" s="10" t="s">
        <v>34</v>
      </c>
      <c r="C24" s="20" t="s">
        <v>56</v>
      </c>
      <c r="D24" s="11" t="s">
        <v>57</v>
      </c>
      <c r="E24" s="21" t="s">
        <v>53</v>
      </c>
      <c r="F24" s="22" t="b">
        <v>0</v>
      </c>
      <c r="G24" s="22" t="b">
        <v>0</v>
      </c>
      <c r="H24" s="22" t="b">
        <v>0</v>
      </c>
      <c r="I24" s="23" t="str">
        <f>IF(COUNTIF(F24:H24,TRUE)=0,"offen",IF(COUNTIF(F24:H24,TRUE)&gt;1,"mehrfach!",IF(G24=TRUE,"n. i. O.","erledigt")))</f>
        <v>offen</v>
      </c>
      <c r="J24" s="11"/>
    </row>
    <row r="25" spans="1:10" ht="15.5" customHeight="1">
      <c r="A25" s="20">
        <v>16</v>
      </c>
      <c r="B25" s="10" t="s">
        <v>34</v>
      </c>
      <c r="C25" s="20" t="s">
        <v>58</v>
      </c>
      <c r="D25" s="11" t="s">
        <v>59</v>
      </c>
      <c r="E25" s="21" t="s">
        <v>53</v>
      </c>
      <c r="F25" s="22" t="b">
        <v>0</v>
      </c>
      <c r="G25" s="22" t="b">
        <v>0</v>
      </c>
      <c r="H25" s="22" t="b">
        <v>0</v>
      </c>
      <c r="I25" s="23" t="str">
        <f>IF(COUNTIF(F25:H25,TRUE)=0,"offen",IF(COUNTIF(F25:H25,TRUE)&gt;1,"mehrfach!",IF(G25=TRUE,"n. i. O.","erledigt")))</f>
        <v>offen</v>
      </c>
      <c r="J25" s="11"/>
    </row>
    <row r="26" spans="1:10">
      <c r="A26" s="19" t="s">
        <v>60</v>
      </c>
      <c r="B26" s="19"/>
      <c r="C26" s="19"/>
      <c r="D26" s="19"/>
      <c r="E26" s="19"/>
      <c r="F26" s="19"/>
      <c r="G26" s="19"/>
      <c r="H26" s="19"/>
      <c r="I26" s="19"/>
      <c r="J26" s="19"/>
    </row>
    <row r="27" spans="1:10" ht="15.5" customHeight="1">
      <c r="A27" s="20">
        <v>17</v>
      </c>
      <c r="B27" s="10" t="s">
        <v>34</v>
      </c>
      <c r="C27" s="20" t="s">
        <v>61</v>
      </c>
      <c r="D27" s="11" t="s">
        <v>62</v>
      </c>
      <c r="E27" s="21" t="s">
        <v>63</v>
      </c>
      <c r="F27" s="22" t="b">
        <v>0</v>
      </c>
      <c r="G27" s="22" t="b">
        <v>0</v>
      </c>
      <c r="H27" s="22" t="b">
        <v>0</v>
      </c>
      <c r="I27" s="23" t="str">
        <f>IF(COUNTIF(F27:H27,TRUE)=0,"offen",IF(COUNTIF(F27:H27,TRUE)&gt;1,"mehrfach!",IF(G27=TRUE,"n. i. O.","erledigt")))</f>
        <v>offen</v>
      </c>
      <c r="J27" s="11"/>
    </row>
    <row r="28" spans="1:10" ht="15.5" customHeight="1">
      <c r="A28" s="20">
        <v>18</v>
      </c>
      <c r="B28" s="10" t="s">
        <v>34</v>
      </c>
      <c r="C28" s="20" t="s">
        <v>64</v>
      </c>
      <c r="D28" s="11" t="s">
        <v>65</v>
      </c>
      <c r="E28" s="21" t="s">
        <v>66</v>
      </c>
      <c r="F28" s="22" t="b">
        <v>0</v>
      </c>
      <c r="G28" s="22" t="b">
        <v>0</v>
      </c>
      <c r="H28" s="22" t="b">
        <v>0</v>
      </c>
      <c r="I28" s="23" t="str">
        <f>IF(COUNTIF(F28:H28,TRUE)=0,"offen",IF(COUNTIF(F28:H28,TRUE)&gt;1,"mehrfach!",IF(G28=TRUE,"n. i. O.","erledigt")))</f>
        <v>offen</v>
      </c>
      <c r="J28" s="11"/>
    </row>
    <row r="29" spans="1:10" ht="15.5" customHeight="1">
      <c r="A29" s="20">
        <v>19</v>
      </c>
      <c r="B29" s="10" t="s">
        <v>34</v>
      </c>
      <c r="C29" s="20" t="s">
        <v>67</v>
      </c>
      <c r="D29" s="11" t="s">
        <v>68</v>
      </c>
      <c r="E29" s="21" t="s">
        <v>69</v>
      </c>
      <c r="F29" s="22" t="b">
        <v>0</v>
      </c>
      <c r="G29" s="22" t="b">
        <v>0</v>
      </c>
      <c r="H29" s="22" t="b">
        <v>0</v>
      </c>
      <c r="I29" s="23" t="str">
        <f>IF(COUNTIF(F29:H29,TRUE)=0,"offen",IF(COUNTIF(F29:H29,TRUE)&gt;1,"mehrfach!",IF(G29=TRUE,"n. i. O.","erledigt")))</f>
        <v>offen</v>
      </c>
      <c r="J29" s="11"/>
    </row>
    <row r="30" spans="1:10" ht="20" customHeight="1">
      <c r="A30" s="13" t="s">
        <v>70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>
      <c r="A31" s="14" t="s">
        <v>71</v>
      </c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5.5" customHeight="1">
      <c r="A32" s="15">
        <v>20</v>
      </c>
      <c r="B32" s="8" t="s">
        <v>14</v>
      </c>
      <c r="C32" s="15" t="s">
        <v>72</v>
      </c>
      <c r="D32" s="9" t="s">
        <v>73</v>
      </c>
      <c r="E32" s="16" t="s">
        <v>74</v>
      </c>
      <c r="F32" s="17" t="b">
        <v>0</v>
      </c>
      <c r="G32" s="17" t="b">
        <v>0</v>
      </c>
      <c r="H32" s="17" t="b">
        <v>0</v>
      </c>
      <c r="I32" s="18" t="str">
        <f>IF(COUNTIF(F32:H32,TRUE)=0,"offen",IF(COUNTIF(F32:H32,TRUE)&gt;1,"mehrfach!",IF(G32=TRUE,"n. i. O.","erledigt")))</f>
        <v>offen</v>
      </c>
      <c r="J32" s="9"/>
    </row>
    <row r="33" spans="1:10" ht="15.5" customHeight="1">
      <c r="A33" s="15">
        <v>21</v>
      </c>
      <c r="B33" s="8" t="s">
        <v>14</v>
      </c>
      <c r="C33" s="15" t="s">
        <v>75</v>
      </c>
      <c r="D33" s="9" t="s">
        <v>76</v>
      </c>
      <c r="E33" s="16" t="s">
        <v>77</v>
      </c>
      <c r="F33" s="17" t="b">
        <v>0</v>
      </c>
      <c r="G33" s="17" t="b">
        <v>0</v>
      </c>
      <c r="H33" s="17" t="b">
        <v>0</v>
      </c>
      <c r="I33" s="18" t="str">
        <f>IF(COUNTIF(F33:H33,TRUE)=0,"offen",IF(COUNTIF(F33:H33,TRUE)&gt;1,"mehrfach!",IF(G33=TRUE,"n. i. O.","erledigt")))</f>
        <v>offen</v>
      </c>
      <c r="J33" s="9"/>
    </row>
    <row r="34" spans="1:10" ht="28" customHeight="1">
      <c r="A34" s="15">
        <v>22</v>
      </c>
      <c r="B34" s="8" t="s">
        <v>14</v>
      </c>
      <c r="C34" s="15" t="s">
        <v>78</v>
      </c>
      <c r="D34" s="9" t="s">
        <v>79</v>
      </c>
      <c r="E34" s="16" t="s">
        <v>80</v>
      </c>
      <c r="F34" s="17" t="b">
        <v>0</v>
      </c>
      <c r="G34" s="17" t="b">
        <v>0</v>
      </c>
      <c r="H34" s="17" t="b">
        <v>0</v>
      </c>
      <c r="I34" s="18" t="str">
        <f>IF(COUNTIF(F34:H34,TRUE)=0,"offen",IF(COUNTIF(F34:H34,TRUE)&gt;1,"mehrfach!",IF(G34=TRUE,"n. i. O.","erledigt")))</f>
        <v>offen</v>
      </c>
      <c r="J34" s="9"/>
    </row>
    <row r="35" spans="1:10">
      <c r="A35" s="14" t="s">
        <v>81</v>
      </c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28" customHeight="1">
      <c r="A36" s="15">
        <v>23</v>
      </c>
      <c r="B36" s="8" t="s">
        <v>14</v>
      </c>
      <c r="C36" s="15" t="s">
        <v>82</v>
      </c>
      <c r="D36" s="9" t="s">
        <v>83</v>
      </c>
      <c r="E36" s="16" t="s">
        <v>84</v>
      </c>
      <c r="F36" s="17" t="b">
        <v>0</v>
      </c>
      <c r="G36" s="17" t="b">
        <v>0</v>
      </c>
      <c r="H36" s="17" t="b">
        <v>0</v>
      </c>
      <c r="I36" s="18" t="str">
        <f>IF(COUNTIF(F36:H36,TRUE)=0,"offen",IF(COUNTIF(F36:H36,TRUE)&gt;1,"mehrfach!",IF(G36=TRUE,"n. i. O.","erledigt")))</f>
        <v>offen</v>
      </c>
      <c r="J36" s="9"/>
    </row>
    <row r="37" spans="1:10" ht="15.5" customHeight="1">
      <c r="A37" s="15">
        <v>24</v>
      </c>
      <c r="B37" s="8" t="s">
        <v>14</v>
      </c>
      <c r="C37" s="15" t="s">
        <v>85</v>
      </c>
      <c r="D37" s="9" t="s">
        <v>86</v>
      </c>
      <c r="E37" s="16" t="s">
        <v>87</v>
      </c>
      <c r="F37" s="17" t="b">
        <v>0</v>
      </c>
      <c r="G37" s="17" t="b">
        <v>0</v>
      </c>
      <c r="H37" s="17" t="b">
        <v>0</v>
      </c>
      <c r="I37" s="18" t="str">
        <f>IF(COUNTIF(F37:H37,TRUE)=0,"offen",IF(COUNTIF(F37:H37,TRUE)&gt;1,"mehrfach!",IF(G37=TRUE,"n. i. O.","erledigt")))</f>
        <v>offen</v>
      </c>
      <c r="J37" s="9"/>
    </row>
    <row r="38" spans="1:10" ht="15.5" customHeight="1">
      <c r="A38" s="15">
        <v>25</v>
      </c>
      <c r="B38" s="8" t="s">
        <v>14</v>
      </c>
      <c r="C38" s="15" t="s">
        <v>88</v>
      </c>
      <c r="D38" s="9" t="s">
        <v>89</v>
      </c>
      <c r="E38" s="9"/>
      <c r="F38" s="17" t="b">
        <v>0</v>
      </c>
      <c r="G38" s="17" t="b">
        <v>0</v>
      </c>
      <c r="H38" s="17" t="b">
        <v>0</v>
      </c>
      <c r="I38" s="18" t="str">
        <f>IF(COUNTIF(F38:H38,TRUE)=0,"offen",IF(COUNTIF(F38:H38,TRUE)&gt;1,"mehrfach!",IF(G38=TRUE,"n. i. O.","erledigt")))</f>
        <v>offen</v>
      </c>
      <c r="J38" s="9"/>
    </row>
    <row r="39" spans="1:10" ht="15.5" customHeight="1">
      <c r="A39" s="15">
        <v>26</v>
      </c>
      <c r="B39" s="8" t="s">
        <v>14</v>
      </c>
      <c r="C39" s="15" t="s">
        <v>90</v>
      </c>
      <c r="D39" s="9" t="s">
        <v>91</v>
      </c>
      <c r="E39" s="16" t="s">
        <v>92</v>
      </c>
      <c r="F39" s="17" t="b">
        <v>0</v>
      </c>
      <c r="G39" s="17" t="b">
        <v>0</v>
      </c>
      <c r="H39" s="17" t="b">
        <v>0</v>
      </c>
      <c r="I39" s="18" t="str">
        <f>IF(COUNTIF(F39:H39,TRUE)=0,"offen",IF(COUNTIF(F39:H39,TRUE)&gt;1,"mehrfach!",IF(G39=TRUE,"n. i. O.","erledigt")))</f>
        <v>offen</v>
      </c>
      <c r="J39" s="9"/>
    </row>
    <row r="40" spans="1:10" ht="15.5" customHeight="1">
      <c r="A40" s="15">
        <v>27</v>
      </c>
      <c r="B40" s="8" t="s">
        <v>14</v>
      </c>
      <c r="C40" s="15" t="s">
        <v>93</v>
      </c>
      <c r="D40" s="9" t="s">
        <v>94</v>
      </c>
      <c r="E40" s="16" t="s">
        <v>95</v>
      </c>
      <c r="F40" s="17" t="b">
        <v>0</v>
      </c>
      <c r="G40" s="17" t="b">
        <v>0</v>
      </c>
      <c r="H40" s="17" t="b">
        <v>0</v>
      </c>
      <c r="I40" s="18" t="str">
        <f>IF(COUNTIF(F40:H40,TRUE)=0,"offen",IF(COUNTIF(F40:H40,TRUE)&gt;1,"mehrfach!",IF(G40=TRUE,"n. i. O.","erledigt")))</f>
        <v>offen</v>
      </c>
      <c r="J40" s="9"/>
    </row>
    <row r="41" spans="1:10">
      <c r="A41" s="14" t="s">
        <v>96</v>
      </c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28" customHeight="1">
      <c r="A42" s="15">
        <v>28</v>
      </c>
      <c r="B42" s="8" t="s">
        <v>14</v>
      </c>
      <c r="C42" s="15" t="s">
        <v>97</v>
      </c>
      <c r="D42" s="9" t="s">
        <v>98</v>
      </c>
      <c r="E42" s="16" t="s">
        <v>99</v>
      </c>
      <c r="F42" s="17" t="b">
        <v>0</v>
      </c>
      <c r="G42" s="17" t="b">
        <v>0</v>
      </c>
      <c r="H42" s="17" t="b">
        <v>0</v>
      </c>
      <c r="I42" s="18" t="str">
        <f>IF(COUNTIF(F42:H42,TRUE)=0,"offen",IF(COUNTIF(F42:H42,TRUE)&gt;1,"mehrfach!",IF(G42=TRUE,"n. i. O.","erledigt")))</f>
        <v>offen</v>
      </c>
      <c r="J42" s="9"/>
    </row>
    <row r="43" spans="1:10" ht="28" customHeight="1">
      <c r="A43" s="15">
        <v>29</v>
      </c>
      <c r="B43" s="8" t="s">
        <v>14</v>
      </c>
      <c r="C43" s="15" t="s">
        <v>100</v>
      </c>
      <c r="D43" s="9" t="s">
        <v>101</v>
      </c>
      <c r="E43" s="16" t="s">
        <v>102</v>
      </c>
      <c r="F43" s="17" t="b">
        <v>0</v>
      </c>
      <c r="G43" s="17" t="b">
        <v>0</v>
      </c>
      <c r="H43" s="17" t="b">
        <v>0</v>
      </c>
      <c r="I43" s="18" t="str">
        <f>IF(COUNTIF(F43:H43,TRUE)=0,"offen",IF(COUNTIF(F43:H43,TRUE)&gt;1,"mehrfach!",IF(G43=TRUE,"n. i. O.","erledigt")))</f>
        <v>offen</v>
      </c>
      <c r="J43" s="9"/>
    </row>
    <row r="44" spans="1:10" ht="28" customHeight="1">
      <c r="A44" s="15">
        <v>30</v>
      </c>
      <c r="B44" s="8" t="s">
        <v>14</v>
      </c>
      <c r="C44" s="15" t="s">
        <v>103</v>
      </c>
      <c r="D44" s="9" t="s">
        <v>104</v>
      </c>
      <c r="E44" s="16" t="s">
        <v>102</v>
      </c>
      <c r="F44" s="17" t="b">
        <v>0</v>
      </c>
      <c r="G44" s="17" t="b">
        <v>0</v>
      </c>
      <c r="H44" s="17" t="b">
        <v>0</v>
      </c>
      <c r="I44" s="18" t="str">
        <f>IF(COUNTIF(F44:H44,TRUE)=0,"offen",IF(COUNTIF(F44:H44,TRUE)&gt;1,"mehrfach!",IF(G44=TRUE,"n. i. O.","erledigt")))</f>
        <v>offen</v>
      </c>
      <c r="J44" s="9"/>
    </row>
    <row r="45" spans="1:10">
      <c r="A45" s="19" t="s">
        <v>105</v>
      </c>
      <c r="B45" s="19"/>
      <c r="C45" s="19"/>
      <c r="D45" s="19"/>
      <c r="E45" s="19"/>
      <c r="F45" s="19"/>
      <c r="G45" s="19"/>
      <c r="H45" s="19"/>
      <c r="I45" s="19"/>
      <c r="J45" s="19"/>
    </row>
    <row r="46" spans="1:10" ht="28" customHeight="1">
      <c r="A46" s="20">
        <v>31</v>
      </c>
      <c r="B46" s="10" t="s">
        <v>34</v>
      </c>
      <c r="C46" s="20" t="s">
        <v>106</v>
      </c>
      <c r="D46" s="11" t="s">
        <v>107</v>
      </c>
      <c r="E46" s="21" t="s">
        <v>108</v>
      </c>
      <c r="F46" s="22" t="b">
        <v>0</v>
      </c>
      <c r="G46" s="22" t="b">
        <v>0</v>
      </c>
      <c r="H46" s="22" t="b">
        <v>0</v>
      </c>
      <c r="I46" s="23" t="str">
        <f>IF(COUNTIF(F46:H46,TRUE)=0,"offen",IF(COUNTIF(F46:H46,TRUE)&gt;1,"mehrfach!",IF(G46=TRUE,"n. i. O.","erledigt")))</f>
        <v>offen</v>
      </c>
      <c r="J46" s="11"/>
    </row>
    <row r="47" spans="1:10" ht="28" customHeight="1">
      <c r="A47" s="20">
        <v>32</v>
      </c>
      <c r="B47" s="10" t="s">
        <v>34</v>
      </c>
      <c r="C47" s="20" t="s">
        <v>109</v>
      </c>
      <c r="D47" s="11" t="s">
        <v>110</v>
      </c>
      <c r="E47" s="21" t="s">
        <v>111</v>
      </c>
      <c r="F47" s="22" t="b">
        <v>0</v>
      </c>
      <c r="G47" s="22" t="b">
        <v>0</v>
      </c>
      <c r="H47" s="22" t="b">
        <v>0</v>
      </c>
      <c r="I47" s="23" t="str">
        <f>IF(COUNTIF(F47:H47,TRUE)=0,"offen",IF(COUNTIF(F47:H47,TRUE)&gt;1,"mehrfach!",IF(G47=TRUE,"n. i. O.","erledigt")))</f>
        <v>offen</v>
      </c>
      <c r="J47" s="11"/>
    </row>
    <row r="48" spans="1:10" ht="28" customHeight="1">
      <c r="A48" s="20">
        <v>33</v>
      </c>
      <c r="B48" s="10" t="s">
        <v>34</v>
      </c>
      <c r="C48" s="20" t="s">
        <v>112</v>
      </c>
      <c r="D48" s="11" t="s">
        <v>113</v>
      </c>
      <c r="E48" s="21" t="s">
        <v>114</v>
      </c>
      <c r="F48" s="22" t="b">
        <v>0</v>
      </c>
      <c r="G48" s="22" t="b">
        <v>0</v>
      </c>
      <c r="H48" s="22" t="b">
        <v>0</v>
      </c>
      <c r="I48" s="23" t="str">
        <f>IF(COUNTIF(F48:H48,TRUE)=0,"offen",IF(COUNTIF(F48:H48,TRUE)&gt;1,"mehrfach!",IF(G48=TRUE,"n. i. O.","erledigt")))</f>
        <v>offen</v>
      </c>
      <c r="J48" s="11"/>
    </row>
    <row r="49" spans="1:10" ht="28" customHeight="1">
      <c r="A49" s="20">
        <v>34</v>
      </c>
      <c r="B49" s="10" t="s">
        <v>34</v>
      </c>
      <c r="C49" s="20" t="s">
        <v>115</v>
      </c>
      <c r="D49" s="11" t="s">
        <v>116</v>
      </c>
      <c r="E49" s="11"/>
      <c r="F49" s="22" t="b">
        <v>0</v>
      </c>
      <c r="G49" s="22" t="b">
        <v>0</v>
      </c>
      <c r="H49" s="22" t="b">
        <v>0</v>
      </c>
      <c r="I49" s="23" t="str">
        <f>IF(COUNTIF(F49:H49,TRUE)=0,"offen",IF(COUNTIF(F49:H49,TRUE)&gt;1,"mehrfach!",IF(G49=TRUE,"n. i. O.","erledigt")))</f>
        <v>offen</v>
      </c>
      <c r="J49" s="11"/>
    </row>
    <row r="50" spans="1:10">
      <c r="A50" s="19" t="s">
        <v>117</v>
      </c>
      <c r="B50" s="19"/>
      <c r="C50" s="19"/>
      <c r="D50" s="19"/>
      <c r="E50" s="19"/>
      <c r="F50" s="19"/>
      <c r="G50" s="19"/>
      <c r="H50" s="19"/>
      <c r="I50" s="19"/>
      <c r="J50" s="19"/>
    </row>
    <row r="51" spans="1:10" ht="15.5" customHeight="1">
      <c r="A51" s="20">
        <v>35</v>
      </c>
      <c r="B51" s="10" t="s">
        <v>34</v>
      </c>
      <c r="C51" s="20" t="s">
        <v>118</v>
      </c>
      <c r="D51" s="11" t="s">
        <v>119</v>
      </c>
      <c r="E51" s="21" t="s">
        <v>120</v>
      </c>
      <c r="F51" s="22" t="b">
        <v>0</v>
      </c>
      <c r="G51" s="22" t="b">
        <v>0</v>
      </c>
      <c r="H51" s="22" t="b">
        <v>0</v>
      </c>
      <c r="I51" s="23" t="str">
        <f>IF(COUNTIF(F51:H51,TRUE)=0,"offen",IF(COUNTIF(F51:H51,TRUE)&gt;1,"mehrfach!",IF(G51=TRUE,"n. i. O.","erledigt")))</f>
        <v>offen</v>
      </c>
      <c r="J51" s="11"/>
    </row>
    <row r="52" spans="1:10" ht="15.5" customHeight="1">
      <c r="A52" s="20">
        <v>36</v>
      </c>
      <c r="B52" s="10" t="s">
        <v>34</v>
      </c>
      <c r="C52" s="20" t="s">
        <v>121</v>
      </c>
      <c r="D52" s="11" t="s">
        <v>122</v>
      </c>
      <c r="E52" s="21" t="s">
        <v>120</v>
      </c>
      <c r="F52" s="22" t="b">
        <v>0</v>
      </c>
      <c r="G52" s="22" t="b">
        <v>0</v>
      </c>
      <c r="H52" s="22" t="b">
        <v>0</v>
      </c>
      <c r="I52" s="23" t="str">
        <f>IF(COUNTIF(F52:H52,TRUE)=0,"offen",IF(COUNTIF(F52:H52,TRUE)&gt;1,"mehrfach!",IF(G52=TRUE,"n. i. O.","erledigt")))</f>
        <v>offen</v>
      </c>
      <c r="J52" s="11"/>
    </row>
    <row r="53" spans="1:10" ht="15.5" customHeight="1">
      <c r="A53" s="20">
        <v>37</v>
      </c>
      <c r="B53" s="10" t="s">
        <v>34</v>
      </c>
      <c r="C53" s="20" t="s">
        <v>123</v>
      </c>
      <c r="D53" s="11" t="s">
        <v>124</v>
      </c>
      <c r="E53" s="21" t="s">
        <v>120</v>
      </c>
      <c r="F53" s="22" t="b">
        <v>0</v>
      </c>
      <c r="G53" s="22" t="b">
        <v>0</v>
      </c>
      <c r="H53" s="22" t="b">
        <v>0</v>
      </c>
      <c r="I53" s="23" t="str">
        <f>IF(COUNTIF(F53:H53,TRUE)=0,"offen",IF(COUNTIF(F53:H53,TRUE)&gt;1,"mehrfach!",IF(G53=TRUE,"n. i. O.","erledigt")))</f>
        <v>offen</v>
      </c>
      <c r="J53" s="11"/>
    </row>
    <row r="54" spans="1:10" ht="15.5" customHeight="1">
      <c r="A54" s="20">
        <v>38</v>
      </c>
      <c r="B54" s="10" t="s">
        <v>34</v>
      </c>
      <c r="C54" s="20" t="s">
        <v>125</v>
      </c>
      <c r="D54" s="11" t="s">
        <v>126</v>
      </c>
      <c r="E54" s="21" t="s">
        <v>127</v>
      </c>
      <c r="F54" s="22" t="b">
        <v>0</v>
      </c>
      <c r="G54" s="22" t="b">
        <v>0</v>
      </c>
      <c r="H54" s="22" t="b">
        <v>0</v>
      </c>
      <c r="I54" s="23" t="str">
        <f>IF(COUNTIF(F54:H54,TRUE)=0,"offen",IF(COUNTIF(F54:H54,TRUE)&gt;1,"mehrfach!",IF(G54=TRUE,"n. i. O.","erledigt")))</f>
        <v>offen</v>
      </c>
      <c r="J54" s="11"/>
    </row>
    <row r="55" spans="1:10" ht="15.5" customHeight="1">
      <c r="A55" s="20">
        <v>39</v>
      </c>
      <c r="B55" s="10" t="s">
        <v>34</v>
      </c>
      <c r="C55" s="20" t="s">
        <v>128</v>
      </c>
      <c r="D55" s="11" t="s">
        <v>129</v>
      </c>
      <c r="E55" s="21" t="s">
        <v>127</v>
      </c>
      <c r="F55" s="22" t="b">
        <v>0</v>
      </c>
      <c r="G55" s="22" t="b">
        <v>0</v>
      </c>
      <c r="H55" s="22" t="b">
        <v>0</v>
      </c>
      <c r="I55" s="23" t="str">
        <f>IF(COUNTIF(F55:H55,TRUE)=0,"offen",IF(COUNTIF(F55:H55,TRUE)&gt;1,"mehrfach!",IF(G55=TRUE,"n. i. O.","erledigt")))</f>
        <v>offen</v>
      </c>
      <c r="J55" s="11"/>
    </row>
    <row r="56" spans="1:10" ht="28" customHeight="1">
      <c r="A56" s="20">
        <v>40</v>
      </c>
      <c r="B56" s="10" t="s">
        <v>34</v>
      </c>
      <c r="C56" s="20" t="s">
        <v>130</v>
      </c>
      <c r="D56" s="11" t="s">
        <v>131</v>
      </c>
      <c r="E56" s="21" t="s">
        <v>132</v>
      </c>
      <c r="F56" s="22" t="b">
        <v>0</v>
      </c>
      <c r="G56" s="22" t="b">
        <v>0</v>
      </c>
      <c r="H56" s="22" t="b">
        <v>0</v>
      </c>
      <c r="I56" s="23" t="str">
        <f>IF(COUNTIF(F56:H56,TRUE)=0,"offen",IF(COUNTIF(F56:H56,TRUE)&gt;1,"mehrfach!",IF(G56=TRUE,"n. i. O.","erledigt")))</f>
        <v>offen</v>
      </c>
      <c r="J56" s="11"/>
    </row>
    <row r="57" spans="1:10" ht="15.5" customHeight="1">
      <c r="A57" s="20">
        <v>41</v>
      </c>
      <c r="B57" s="10" t="s">
        <v>34</v>
      </c>
      <c r="C57" s="20" t="s">
        <v>133</v>
      </c>
      <c r="D57" s="11" t="s">
        <v>134</v>
      </c>
      <c r="E57" s="21" t="s">
        <v>135</v>
      </c>
      <c r="F57" s="22" t="b">
        <v>0</v>
      </c>
      <c r="G57" s="22" t="b">
        <v>0</v>
      </c>
      <c r="H57" s="22" t="b">
        <v>0</v>
      </c>
      <c r="I57" s="23" t="str">
        <f>IF(COUNTIF(F57:H57,TRUE)=0,"offen",IF(COUNTIF(F57:H57,TRUE)&gt;1,"mehrfach!",IF(G57=TRUE,"n. i. O.","erledigt")))</f>
        <v>offen</v>
      </c>
      <c r="J57" s="11"/>
    </row>
    <row r="58" spans="1:10">
      <c r="A58" s="19" t="s">
        <v>136</v>
      </c>
      <c r="B58" s="19"/>
      <c r="C58" s="19"/>
      <c r="D58" s="19"/>
      <c r="E58" s="19"/>
      <c r="F58" s="19"/>
      <c r="G58" s="19"/>
      <c r="H58" s="19"/>
      <c r="I58" s="19"/>
      <c r="J58" s="19"/>
    </row>
    <row r="59" spans="1:10" ht="28" customHeight="1">
      <c r="A59" s="20">
        <v>42</v>
      </c>
      <c r="B59" s="10" t="s">
        <v>34</v>
      </c>
      <c r="C59" s="20" t="s">
        <v>137</v>
      </c>
      <c r="D59" s="11" t="s">
        <v>138</v>
      </c>
      <c r="E59" s="21" t="s">
        <v>139</v>
      </c>
      <c r="F59" s="22" t="b">
        <v>0</v>
      </c>
      <c r="G59" s="22" t="b">
        <v>0</v>
      </c>
      <c r="H59" s="22" t="b">
        <v>0</v>
      </c>
      <c r="I59" s="23" t="str">
        <f>IF(COUNTIF(F59:H59,TRUE)=0,"offen",IF(COUNTIF(F59:H59,TRUE)&gt;1,"mehrfach!",IF(G59=TRUE,"n. i. O.","erledigt")))</f>
        <v>offen</v>
      </c>
      <c r="J59" s="11"/>
    </row>
    <row r="60" spans="1:10" ht="20" customHeight="1">
      <c r="A60" s="13" t="s">
        <v>140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>
      <c r="A61" s="14" t="s">
        <v>141</v>
      </c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5.5" customHeight="1">
      <c r="A62" s="15">
        <v>43</v>
      </c>
      <c r="B62" s="8" t="s">
        <v>14</v>
      </c>
      <c r="C62" s="15" t="s">
        <v>142</v>
      </c>
      <c r="D62" s="9" t="s">
        <v>143</v>
      </c>
      <c r="E62" s="16" t="s">
        <v>144</v>
      </c>
      <c r="F62" s="17" t="b">
        <v>0</v>
      </c>
      <c r="G62" s="17" t="b">
        <v>0</v>
      </c>
      <c r="H62" s="17" t="b">
        <v>0</v>
      </c>
      <c r="I62" s="18" t="str">
        <f>IF(COUNTIF(F62:H62,TRUE)=0,"offen",IF(COUNTIF(F62:H62,TRUE)&gt;1,"mehrfach!",IF(G62=TRUE,"n. i. O.","erledigt")))</f>
        <v>offen</v>
      </c>
      <c r="J62" s="9"/>
    </row>
    <row r="63" spans="1:10" ht="15.5" customHeight="1">
      <c r="A63" s="15">
        <v>44</v>
      </c>
      <c r="B63" s="8" t="s">
        <v>14</v>
      </c>
      <c r="C63" s="15" t="s">
        <v>145</v>
      </c>
      <c r="D63" s="9" t="s">
        <v>146</v>
      </c>
      <c r="E63" s="16" t="s">
        <v>147</v>
      </c>
      <c r="F63" s="17" t="b">
        <v>0</v>
      </c>
      <c r="G63" s="17" t="b">
        <v>0</v>
      </c>
      <c r="H63" s="17" t="b">
        <v>0</v>
      </c>
      <c r="I63" s="18" t="str">
        <f>IF(COUNTIF(F63:H63,TRUE)=0,"offen",IF(COUNTIF(F63:H63,TRUE)&gt;1,"mehrfach!",IF(G63=TRUE,"n. i. O.","erledigt")))</f>
        <v>offen</v>
      </c>
      <c r="J63" s="9"/>
    </row>
    <row r="64" spans="1:10" ht="15.5" customHeight="1">
      <c r="A64" s="15">
        <v>45</v>
      </c>
      <c r="B64" s="8" t="s">
        <v>14</v>
      </c>
      <c r="C64" s="15" t="s">
        <v>148</v>
      </c>
      <c r="D64" s="9" t="s">
        <v>149</v>
      </c>
      <c r="E64" s="16" t="s">
        <v>147</v>
      </c>
      <c r="F64" s="17" t="b">
        <v>0</v>
      </c>
      <c r="G64" s="17" t="b">
        <v>0</v>
      </c>
      <c r="H64" s="17" t="b">
        <v>0</v>
      </c>
      <c r="I64" s="18" t="str">
        <f>IF(COUNTIF(F64:H64,TRUE)=0,"offen",IF(COUNTIF(F64:H64,TRUE)&gt;1,"mehrfach!",IF(G64=TRUE,"n. i. O.","erledigt")))</f>
        <v>offen</v>
      </c>
      <c r="J64" s="9"/>
    </row>
    <row r="65" spans="1:10" ht="15.5" customHeight="1">
      <c r="A65" s="15">
        <v>46</v>
      </c>
      <c r="B65" s="8" t="s">
        <v>14</v>
      </c>
      <c r="C65" s="15" t="s">
        <v>150</v>
      </c>
      <c r="D65" s="9" t="s">
        <v>151</v>
      </c>
      <c r="E65" s="16" t="s">
        <v>152</v>
      </c>
      <c r="F65" s="17" t="b">
        <v>0</v>
      </c>
      <c r="G65" s="17" t="b">
        <v>0</v>
      </c>
      <c r="H65" s="17" t="b">
        <v>0</v>
      </c>
      <c r="I65" s="18" t="str">
        <f>IF(COUNTIF(F65:H65,TRUE)=0,"offen",IF(COUNTIF(F65:H65,TRUE)&gt;1,"mehrfach!",IF(G65=TRUE,"n. i. O.","erledigt")))</f>
        <v>offen</v>
      </c>
      <c r="J65" s="9"/>
    </row>
    <row r="66" spans="1:10" ht="15.5" customHeight="1">
      <c r="A66" s="15">
        <v>47</v>
      </c>
      <c r="B66" s="8" t="s">
        <v>14</v>
      </c>
      <c r="C66" s="15" t="s">
        <v>153</v>
      </c>
      <c r="D66" s="9" t="s">
        <v>154</v>
      </c>
      <c r="E66" s="16" t="s">
        <v>155</v>
      </c>
      <c r="F66" s="17" t="b">
        <v>0</v>
      </c>
      <c r="G66" s="17" t="b">
        <v>0</v>
      </c>
      <c r="H66" s="17" t="b">
        <v>0</v>
      </c>
      <c r="I66" s="18" t="str">
        <f>IF(COUNTIF(F66:H66,TRUE)=0,"offen",IF(COUNTIF(F66:H66,TRUE)&gt;1,"mehrfach!",IF(G66=TRUE,"n. i. O.","erledigt")))</f>
        <v>offen</v>
      </c>
      <c r="J66" s="9"/>
    </row>
    <row r="67" spans="1:10" ht="15.5" customHeight="1">
      <c r="A67" s="15">
        <v>48</v>
      </c>
      <c r="B67" s="8" t="s">
        <v>14</v>
      </c>
      <c r="C67" s="15" t="s">
        <v>156</v>
      </c>
      <c r="D67" s="9" t="s">
        <v>157</v>
      </c>
      <c r="E67" s="16" t="s">
        <v>155</v>
      </c>
      <c r="F67" s="17" t="b">
        <v>0</v>
      </c>
      <c r="G67" s="17" t="b">
        <v>0</v>
      </c>
      <c r="H67" s="17" t="b">
        <v>0</v>
      </c>
      <c r="I67" s="18" t="str">
        <f>IF(COUNTIF(F67:H67,TRUE)=0,"offen",IF(COUNTIF(F67:H67,TRUE)&gt;1,"mehrfach!",IF(G67=TRUE,"n. i. O.","erledigt")))</f>
        <v>offen</v>
      </c>
      <c r="J67" s="9"/>
    </row>
    <row r="68" spans="1:10" ht="15.5" customHeight="1">
      <c r="A68" s="15">
        <v>49</v>
      </c>
      <c r="B68" s="8" t="s">
        <v>14</v>
      </c>
      <c r="C68" s="15" t="s">
        <v>158</v>
      </c>
      <c r="D68" s="9" t="s">
        <v>159</v>
      </c>
      <c r="E68" s="16" t="s">
        <v>155</v>
      </c>
      <c r="F68" s="17" t="b">
        <v>0</v>
      </c>
      <c r="G68" s="17" t="b">
        <v>0</v>
      </c>
      <c r="H68" s="17" t="b">
        <v>0</v>
      </c>
      <c r="I68" s="18" t="str">
        <f>IF(COUNTIF(F68:H68,TRUE)=0,"offen",IF(COUNTIF(F68:H68,TRUE)&gt;1,"mehrfach!",IF(G68=TRUE,"n. i. O.","erledigt")))</f>
        <v>offen</v>
      </c>
      <c r="J68" s="9"/>
    </row>
    <row r="69" spans="1:10" ht="15.5" customHeight="1">
      <c r="A69" s="15">
        <v>50</v>
      </c>
      <c r="B69" s="8" t="s">
        <v>14</v>
      </c>
      <c r="C69" s="15" t="s">
        <v>160</v>
      </c>
      <c r="D69" s="9" t="s">
        <v>161</v>
      </c>
      <c r="E69" s="9"/>
      <c r="F69" s="17" t="b">
        <v>0</v>
      </c>
      <c r="G69" s="17" t="b">
        <v>0</v>
      </c>
      <c r="H69" s="17" t="b">
        <v>0</v>
      </c>
      <c r="I69" s="18" t="str">
        <f>IF(COUNTIF(F69:H69,TRUE)=0,"offen",IF(COUNTIF(F69:H69,TRUE)&gt;1,"mehrfach!",IF(G69=TRUE,"n. i. O.","erledigt")))</f>
        <v>offen</v>
      </c>
      <c r="J69" s="9"/>
    </row>
    <row r="70" spans="1:10" ht="15.5" customHeight="1">
      <c r="A70" s="15">
        <v>51</v>
      </c>
      <c r="B70" s="8" t="s">
        <v>14</v>
      </c>
      <c r="C70" s="15" t="s">
        <v>162</v>
      </c>
      <c r="D70" s="9" t="s">
        <v>163</v>
      </c>
      <c r="E70" s="9"/>
      <c r="F70" s="17" t="b">
        <v>0</v>
      </c>
      <c r="G70" s="17" t="b">
        <v>0</v>
      </c>
      <c r="H70" s="17" t="b">
        <v>0</v>
      </c>
      <c r="I70" s="18" t="str">
        <f>IF(COUNTIF(F70:H70,TRUE)=0,"offen",IF(COUNTIF(F70:H70,TRUE)&gt;1,"mehrfach!",IF(G70=TRUE,"n. i. O.","erledigt")))</f>
        <v>offen</v>
      </c>
      <c r="J70" s="9"/>
    </row>
    <row r="71" spans="1:10">
      <c r="A71" s="19" t="s">
        <v>164</v>
      </c>
      <c r="B71" s="19"/>
      <c r="C71" s="19"/>
      <c r="D71" s="19"/>
      <c r="E71" s="19"/>
      <c r="F71" s="19"/>
      <c r="G71" s="19"/>
      <c r="H71" s="19"/>
      <c r="I71" s="19"/>
      <c r="J71" s="19"/>
    </row>
    <row r="72" spans="1:10" ht="28" customHeight="1">
      <c r="A72" s="20">
        <v>52</v>
      </c>
      <c r="B72" s="10" t="s">
        <v>34</v>
      </c>
      <c r="C72" s="20" t="s">
        <v>165</v>
      </c>
      <c r="D72" s="11" t="s">
        <v>166</v>
      </c>
      <c r="E72" s="21" t="s">
        <v>167</v>
      </c>
      <c r="F72" s="22" t="b">
        <v>0</v>
      </c>
      <c r="G72" s="22" t="b">
        <v>0</v>
      </c>
      <c r="H72" s="22" t="b">
        <v>0</v>
      </c>
      <c r="I72" s="23" t="str">
        <f>IF(COUNTIF(F72:H72,TRUE)=0,"offen",IF(COUNTIF(F72:H72,TRUE)&gt;1,"mehrfach!",IF(G72=TRUE,"n. i. O.","erledigt")))</f>
        <v>offen</v>
      </c>
      <c r="J72" s="11"/>
    </row>
    <row r="73" spans="1:10" ht="15.5" customHeight="1">
      <c r="A73" s="20">
        <v>53</v>
      </c>
      <c r="B73" s="10" t="s">
        <v>34</v>
      </c>
      <c r="C73" s="20" t="s">
        <v>168</v>
      </c>
      <c r="D73" s="11" t="s">
        <v>169</v>
      </c>
      <c r="E73" s="21" t="s">
        <v>170</v>
      </c>
      <c r="F73" s="22" t="b">
        <v>0</v>
      </c>
      <c r="G73" s="22" t="b">
        <v>0</v>
      </c>
      <c r="H73" s="22" t="b">
        <v>0</v>
      </c>
      <c r="I73" s="23" t="str">
        <f>IF(COUNTIF(F73:H73,TRUE)=0,"offen",IF(COUNTIF(F73:H73,TRUE)&gt;1,"mehrfach!",IF(G73=TRUE,"n. i. O.","erledigt")))</f>
        <v>offen</v>
      </c>
      <c r="J73" s="11"/>
    </row>
    <row r="74" spans="1:10" ht="15.5" customHeight="1">
      <c r="A74" s="20">
        <v>54</v>
      </c>
      <c r="B74" s="10" t="s">
        <v>34</v>
      </c>
      <c r="C74" s="20" t="s">
        <v>171</v>
      </c>
      <c r="D74" s="11" t="s">
        <v>172</v>
      </c>
      <c r="E74" s="21" t="s">
        <v>173</v>
      </c>
      <c r="F74" s="22" t="b">
        <v>0</v>
      </c>
      <c r="G74" s="22" t="b">
        <v>0</v>
      </c>
      <c r="H74" s="22" t="b">
        <v>0</v>
      </c>
      <c r="I74" s="23" t="str">
        <f>IF(COUNTIF(F74:H74,TRUE)=0,"offen",IF(COUNTIF(F74:H74,TRUE)&gt;1,"mehrfach!",IF(G74=TRUE,"n. i. O.","erledigt")))</f>
        <v>offen</v>
      </c>
      <c r="J74" s="11"/>
    </row>
    <row r="75" spans="1:10" ht="15.5" customHeight="1">
      <c r="A75" s="20">
        <v>55</v>
      </c>
      <c r="B75" s="10" t="s">
        <v>34</v>
      </c>
      <c r="C75" s="20" t="s">
        <v>174</v>
      </c>
      <c r="D75" s="11" t="s">
        <v>175</v>
      </c>
      <c r="E75" s="21" t="s">
        <v>176</v>
      </c>
      <c r="F75" s="22" t="b">
        <v>0</v>
      </c>
      <c r="G75" s="22" t="b">
        <v>0</v>
      </c>
      <c r="H75" s="22" t="b">
        <v>0</v>
      </c>
      <c r="I75" s="23" t="str">
        <f>IF(COUNTIF(F75:H75,TRUE)=0,"offen",IF(COUNTIF(F75:H75,TRUE)&gt;1,"mehrfach!",IF(G75=TRUE,"n. i. O.","erledigt")))</f>
        <v>offen</v>
      </c>
      <c r="J75" s="11"/>
    </row>
    <row r="76" spans="1:10" ht="15.5" customHeight="1">
      <c r="A76" s="20">
        <v>56</v>
      </c>
      <c r="B76" s="10" t="s">
        <v>34</v>
      </c>
      <c r="C76" s="20" t="s">
        <v>177</v>
      </c>
      <c r="D76" s="11" t="s">
        <v>178</v>
      </c>
      <c r="E76" s="21" t="s">
        <v>179</v>
      </c>
      <c r="F76" s="22" t="b">
        <v>0</v>
      </c>
      <c r="G76" s="22" t="b">
        <v>0</v>
      </c>
      <c r="H76" s="22" t="b">
        <v>0</v>
      </c>
      <c r="I76" s="23" t="str">
        <f>IF(COUNTIF(F76:H76,TRUE)=0,"offen",IF(COUNTIF(F76:H76,TRUE)&gt;1,"mehrfach!",IF(G76=TRUE,"n. i. O.","erledigt")))</f>
        <v>offen</v>
      </c>
      <c r="J76" s="11"/>
    </row>
    <row r="77" spans="1:10" ht="28" customHeight="1">
      <c r="A77" s="20">
        <v>57</v>
      </c>
      <c r="B77" s="10" t="s">
        <v>34</v>
      </c>
      <c r="C77" s="20" t="s">
        <v>180</v>
      </c>
      <c r="D77" s="11" t="s">
        <v>181</v>
      </c>
      <c r="E77" s="21" t="s">
        <v>182</v>
      </c>
      <c r="F77" s="22" t="b">
        <v>0</v>
      </c>
      <c r="G77" s="22" t="b">
        <v>0</v>
      </c>
      <c r="H77" s="22" t="b">
        <v>0</v>
      </c>
      <c r="I77" s="23" t="str">
        <f>IF(COUNTIF(F77:H77,TRUE)=0,"offen",IF(COUNTIF(F77:H77,TRUE)&gt;1,"mehrfach!",IF(G77=TRUE,"n. i. O.","erledigt")))</f>
        <v>offen</v>
      </c>
      <c r="J77" s="11"/>
    </row>
    <row r="78" spans="1:10" ht="28" customHeight="1">
      <c r="A78" s="20">
        <v>58</v>
      </c>
      <c r="B78" s="10" t="s">
        <v>34</v>
      </c>
      <c r="C78" s="20" t="s">
        <v>183</v>
      </c>
      <c r="D78" s="11" t="s">
        <v>184</v>
      </c>
      <c r="E78" s="21" t="s">
        <v>182</v>
      </c>
      <c r="F78" s="22" t="b">
        <v>0</v>
      </c>
      <c r="G78" s="22" t="b">
        <v>0</v>
      </c>
      <c r="H78" s="22" t="b">
        <v>0</v>
      </c>
      <c r="I78" s="23" t="str">
        <f>IF(COUNTIF(F78:H78,TRUE)=0,"offen",IF(COUNTIF(F78:H78,TRUE)&gt;1,"mehrfach!",IF(G78=TRUE,"n. i. O.","erledigt")))</f>
        <v>offen</v>
      </c>
      <c r="J78" s="11"/>
    </row>
  </sheetData>
  <autoFilter ref="A4:J78"/>
  <mergeCells count="16">
    <mergeCell ref="A5:J5"/>
    <mergeCell ref="A6:J6"/>
    <mergeCell ref="A13:J13"/>
    <mergeCell ref="A15:J15"/>
    <mergeCell ref="A21:J21"/>
    <mergeCell ref="A26:J26"/>
    <mergeCell ref="A30:J30"/>
    <mergeCell ref="A31:J31"/>
    <mergeCell ref="A35:J35"/>
    <mergeCell ref="A41:J41"/>
    <mergeCell ref="A45:J45"/>
    <mergeCell ref="A50:J50"/>
    <mergeCell ref="A58:J58"/>
    <mergeCell ref="A60:J60"/>
    <mergeCell ref="A61:J61"/>
    <mergeCell ref="A71:J71"/>
  </mergeCells>
  <conditionalFormatting sqref="I5:I78">
    <cfRule type="cellIs" dxfId="0" priority="1" operator="equal">
      <formula>"erledigt"</formula>
    </cfRule>
    <cfRule type="cellIs" dxfId="1" priority="2" operator="equal">
      <formula>"n. i. O."</formula>
    </cfRule>
    <cfRule type="cellIs" dxfId="2" priority="3" operator="equal">
      <formula>"mehrfach!"</formula>
    </cfRule>
  </conditionalFormatting>
  <hyperlinks>
    <hyperlink ref="E7" location="'Prüfprotokoll'!D14" tooltip="Zur zugehörigen Prüfanleitung springen" display="↓ PA 1"/>
    <hyperlink ref="E8" location="'Prüfprotokoll'!D16" tooltip="Zur zugehörigen Prüfanleitung springen" display="↓ PA 2 (+4)"/>
    <hyperlink ref="E9" location="'Prüfprotokoll'!D22" tooltip="Zur zugehörigen Prüfanleitung springen" display="↓ PA 7 (+3)"/>
    <hyperlink ref="E10" location="'Prüfprotokoll'!D27" tooltip="Zur zugehörigen Prüfanleitung springen" display="↓ PA 11 (+1)"/>
    <hyperlink ref="E11" location="'Prüfprotokoll'!D29" tooltip="Zur zugehörigen Prüfanleitung springen" display="↓ PA 13"/>
    <hyperlink ref="E12" location="'Prüfprotokoll'!D27" tooltip="Zur zugehörigen Prüfanleitung springen" display="↓ PA 11"/>
    <hyperlink ref="E14" location="'Prüfprotokoll'!D7" tooltip="Zur TIP-Frage springen" display="↑ S6 Nr. 1"/>
    <hyperlink ref="E16" location="'Prüfprotokoll'!D8" tooltip="Zur TIP-Frage springen" display="↑ S6 Nr. 2"/>
    <hyperlink ref="E17" location="'Prüfprotokoll'!D8" tooltip="Zur TIP-Frage springen" display="↑ S6 Nr. 2"/>
    <hyperlink ref="E18" location="'Prüfprotokoll'!D8" tooltip="Zur TIP-Frage springen" display="↑ S6 Nr. 2"/>
    <hyperlink ref="E19" location="'Prüfprotokoll'!D8" tooltip="Zur TIP-Frage springen" display="↑ S6 Nr. 2"/>
    <hyperlink ref="E20" location="'Prüfprotokoll'!D8" tooltip="Zur TIP-Frage springen" display="↑ S6 Nr. 2"/>
    <hyperlink ref="E22" location="'Prüfprotokoll'!D9" tooltip="Zur TIP-Frage springen" display="↑ S6 Nr. 3"/>
    <hyperlink ref="E23" location="'Prüfprotokoll'!D9" tooltip="Zur TIP-Frage springen" display="↑ S6 Nr. 3"/>
    <hyperlink ref="E24" location="'Prüfprotokoll'!D9" tooltip="Zur TIP-Frage springen" display="↑ S6 Nr. 3"/>
    <hyperlink ref="E25" location="'Prüfprotokoll'!D9" tooltip="Zur TIP-Frage springen" display="↑ S6 Nr. 3"/>
    <hyperlink ref="E27" location="'Prüfprotokoll'!D10" tooltip="Zur TIP-Frage springen" display="↑ S6 Nr. 4, 16"/>
    <hyperlink ref="E28" location="'Prüfprotokoll'!D10" tooltip="Zur TIP-Frage springen" display="↑ S6 Nr. 4"/>
    <hyperlink ref="E29" location="'Prüfprotokoll'!D11" tooltip="Zur TIP-Frage springen" display="↑ S6 Nr. 15"/>
    <hyperlink ref="E32" location="'Prüfprotokoll'!D46" tooltip="Zur zugehörigen Prüfanleitung springen" display="↓ PA 14"/>
    <hyperlink ref="E33" location="'Prüfprotokoll'!D47" tooltip="Zur zugehörigen Prüfanleitung springen" display="↓ PA 15"/>
    <hyperlink ref="E34" location="'Prüfprotokoll'!D48" tooltip="Zur zugehörigen Prüfanleitung springen" display="↓ PA 16"/>
    <hyperlink ref="E36" location="'Prüfprotokoll'!D51" tooltip="Zur zugehörigen Prüfanleitung springen" display="↓ PA 18 (+2)"/>
    <hyperlink ref="E37" location="'Prüfprotokoll'!D54" tooltip="Zur zugehörigen Prüfanleitung springen" display="↓ PA 21 (+1)"/>
    <hyperlink ref="E39" location="'Prüfprotokoll'!D56" tooltip="Zur zugehörigen Prüfanleitung springen" display="↓ PA 23"/>
    <hyperlink ref="E40" location="'Prüfprotokoll'!D57" tooltip="Zur zugehörigen Prüfanleitung springen" display="↓ PA 24"/>
    <hyperlink ref="E42" location="'Prüfprotokoll'!D48" tooltip="Zur zugehörigen Prüfanleitung springen" display="↓ PA 16 (+1)"/>
    <hyperlink ref="E43" location="'Prüfprotokoll'!D59" tooltip="Zur zugehörigen Prüfanleitung springen" display="↓ PA 25"/>
    <hyperlink ref="E44" location="'Prüfprotokoll'!D59" tooltip="Zur zugehörigen Prüfanleitung springen" display="↓ PA 25"/>
    <hyperlink ref="E46" location="'Prüfprotokoll'!D32" tooltip="Zur TIP-Frage springen" display="↑ S6 Nr. 5"/>
    <hyperlink ref="E47" location="'Prüfprotokoll'!D33" tooltip="Zur TIP-Frage springen" display="↑ S6 Nr. 6"/>
    <hyperlink ref="E48" location="'Prüfprotokoll'!D34" tooltip="Zur TIP-Frage springen" display="↑ S6 Nr. 7, 22"/>
    <hyperlink ref="E51" location="'Prüfprotokoll'!D36" tooltip="Zur TIP-Frage springen" display="↑ S6 Nr. 17"/>
    <hyperlink ref="E52" location="'Prüfprotokoll'!D36" tooltip="Zur TIP-Frage springen" display="↑ S6 Nr. 17"/>
    <hyperlink ref="E53" location="'Prüfprotokoll'!D36" tooltip="Zur TIP-Frage springen" display="↑ S6 Nr. 17"/>
    <hyperlink ref="E54" location="'Prüfprotokoll'!D37" tooltip="Zur TIP-Frage springen" display="↑ S6 Nr. 18"/>
    <hyperlink ref="E55" location="'Prüfprotokoll'!D37" tooltip="Zur TIP-Frage springen" display="↑ S6 Nr. 18"/>
    <hyperlink ref="E56" location="'Prüfprotokoll'!D39" tooltip="Zur TIP-Frage springen" display="↑ S6 Nr. 25"/>
    <hyperlink ref="E57" location="'Prüfprotokoll'!D40" tooltip="Zur TIP-Frage springen" display="↑ S6 Nr. 26"/>
    <hyperlink ref="E59" location="'Prüfprotokoll'!D42" tooltip="Zur TIP-Frage springen" display="↑ S6 Nr. 22, 23, 24"/>
    <hyperlink ref="E62" location="'Prüfprotokoll'!D77" tooltip="Zur zugehörigen Prüfanleitung springen" display="↓ PA 31 (+1)"/>
    <hyperlink ref="E63" location="'Prüfprotokoll'!D72" tooltip="Zur zugehörigen Prüfanleitung springen" display="↓ PA 26 (+1)"/>
    <hyperlink ref="E64" location="'Prüfprotokoll'!D72" tooltip="Zur zugehörigen Prüfanleitung springen" display="↓ PA 26 (+1)"/>
    <hyperlink ref="E65" location="'Prüfprotokoll'!D75" tooltip="Zur zugehörigen Prüfanleitung springen" display="↓ PA 29"/>
    <hyperlink ref="E66" location="'Prüfprotokoll'!D76" tooltip="Zur zugehörigen Prüfanleitung springen" display="↓ PA 30"/>
    <hyperlink ref="E67" location="'Prüfprotokoll'!D76" tooltip="Zur zugehörigen Prüfanleitung springen" display="↓ PA 30"/>
    <hyperlink ref="E68" location="'Prüfprotokoll'!D76" tooltip="Zur zugehörigen Prüfanleitung springen" display="↓ PA 30"/>
    <hyperlink ref="E72" location="'Prüfprotokoll'!D63" tooltip="Zur TIP-Frage springen" display="↑ S6 Nr. 9, 10"/>
    <hyperlink ref="E73" location="'Prüfprotokoll'!D63" tooltip="Zur TIP-Frage springen" display="↑ S6 Nr. 9"/>
    <hyperlink ref="E74" location="'Prüfprotokoll'!D64" tooltip="Zur TIP-Frage springen" display="↑ S6 Nr. 10"/>
    <hyperlink ref="E75" location="'Prüfprotokoll'!D65" tooltip="Zur TIP-Frage springen" display="↑ S6 Nr. 11"/>
    <hyperlink ref="E76" location="'Prüfprotokoll'!D66" tooltip="Zur TIP-Frage springen" display="↑ S6 Nr. 12, 13, 14"/>
    <hyperlink ref="E77" location="'Prüfprotokoll'!D62" tooltip="Zur TIP-Frage springen" display="↑ S6 Nr. 8"/>
    <hyperlink ref="E78" location="'Prüfprotokoll'!D62" tooltip="Zur TIP-Frage springen" display="↑ S6 Nr. 8"/>
  </hyperlinks>
  <pageMargins left="0.4" right="0.4" top="0.6" bottom="0.6" header="0.3" footer="0.3"/>
  <pageSetup paperSize="9" fitToHeight="0" orientation="landscape"/>
  <headerFooter>
    <oddHeader>&amp;L&amp;8Hitachi Rail · Interne Abnahmeprüfung&amp;R&amp;8Prüfprotokoll RBC (S6 + Prüfanleitung)</oddHeader>
    <oddFooter>&amp;L&amp;8Template Ausgabe 01&amp;R&amp;8Seite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I34"/>
  <sheetViews>
    <sheetView workbookViewId="0"/>
  </sheetViews>
  <sheetFormatPr defaultRowHeight="15"/>
  <cols>
    <col min="1" max="1" width="3.7109375" customWidth="1"/>
    <col min="2" max="2" width="48.7109375" customWidth="1"/>
    <col min="3" max="9" width="11.7109375" customWidth="1"/>
  </cols>
  <sheetData>
    <row r="2" spans="2:9">
      <c r="B2" s="12" t="s">
        <v>219</v>
      </c>
    </row>
    <row r="4" spans="2:9">
      <c r="B4" s="5" t="s">
        <v>220</v>
      </c>
      <c r="C4" s="5" t="s">
        <v>14</v>
      </c>
      <c r="D4" s="5" t="s">
        <v>34</v>
      </c>
      <c r="E4" s="5" t="s">
        <v>7</v>
      </c>
      <c r="F4" s="5" t="s">
        <v>8</v>
      </c>
      <c r="G4" s="5" t="s">
        <v>9</v>
      </c>
      <c r="H4" s="5" t="s">
        <v>221</v>
      </c>
      <c r="I4" s="5" t="s">
        <v>222</v>
      </c>
    </row>
    <row r="5" spans="2:9">
      <c r="B5" s="11" t="s">
        <v>12</v>
      </c>
      <c r="C5" s="20">
        <f>COUNTIF('Prüfprotokoll'!B6:B29,"TIP S6")</f>
        <v>0</v>
      </c>
      <c r="D5" s="20">
        <f>COUNTIF('Prüfprotokoll'!B6:B29,"PA")</f>
        <v>0</v>
      </c>
      <c r="E5" s="20">
        <f>COUNTIF('Prüfprotokoll'!F6:F29,TRUE)</f>
        <v>0</v>
      </c>
      <c r="F5" s="20">
        <f>COUNTIF('Prüfprotokoll'!G6:G29,TRUE)</f>
        <v>0</v>
      </c>
      <c r="G5" s="20">
        <f>COUNTIF('Prüfprotokoll'!H6:H29,TRUE)</f>
        <v>0</v>
      </c>
      <c r="H5" s="20">
        <f>COUNTIF('Prüfprotokoll'!I6:I29,"offen")</f>
        <v>0</v>
      </c>
      <c r="I5" s="20">
        <f>COUNTIF('Prüfprotokoll'!I6:I29,"mehrfach!")</f>
        <v>0</v>
      </c>
    </row>
    <row r="6" spans="2:9">
      <c r="B6" s="11" t="s">
        <v>70</v>
      </c>
      <c r="C6" s="20">
        <f>COUNTIF('Prüfprotokoll'!B31:B59,"TIP S6")</f>
        <v>0</v>
      </c>
      <c r="D6" s="20">
        <f>COUNTIF('Prüfprotokoll'!B31:B59,"PA")</f>
        <v>0</v>
      </c>
      <c r="E6" s="20">
        <f>COUNTIF('Prüfprotokoll'!F31:F59,TRUE)</f>
        <v>0</v>
      </c>
      <c r="F6" s="20">
        <f>COUNTIF('Prüfprotokoll'!G31:G59,TRUE)</f>
        <v>0</v>
      </c>
      <c r="G6" s="20">
        <f>COUNTIF('Prüfprotokoll'!H31:H59,TRUE)</f>
        <v>0</v>
      </c>
      <c r="H6" s="20">
        <f>COUNTIF('Prüfprotokoll'!I31:I59,"offen")</f>
        <v>0</v>
      </c>
      <c r="I6" s="20">
        <f>COUNTIF('Prüfprotokoll'!I31:I59,"mehrfach!")</f>
        <v>0</v>
      </c>
    </row>
    <row r="7" spans="2:9">
      <c r="B7" s="11" t="s">
        <v>140</v>
      </c>
      <c r="C7" s="20">
        <f>COUNTIF('Prüfprotokoll'!B61:B78,"TIP S6")</f>
        <v>0</v>
      </c>
      <c r="D7" s="20">
        <f>COUNTIF('Prüfprotokoll'!B61:B78,"PA")</f>
        <v>0</v>
      </c>
      <c r="E7" s="20">
        <f>COUNTIF('Prüfprotokoll'!F61:F78,TRUE)</f>
        <v>0</v>
      </c>
      <c r="F7" s="20">
        <f>COUNTIF('Prüfprotokoll'!G61:G78,TRUE)</f>
        <v>0</v>
      </c>
      <c r="G7" s="20">
        <f>COUNTIF('Prüfprotokoll'!H61:H78,TRUE)</f>
        <v>0</v>
      </c>
      <c r="H7" s="20">
        <f>COUNTIF('Prüfprotokoll'!I61:I78,"offen")</f>
        <v>0</v>
      </c>
      <c r="I7" s="20">
        <f>COUNTIF('Prüfprotokoll'!I61:I78,"mehrfach!")</f>
        <v>0</v>
      </c>
    </row>
    <row r="8" spans="2:9">
      <c r="B8" s="6" t="s">
        <v>223</v>
      </c>
      <c r="C8" s="24">
        <f>SUM(C5:C7)</f>
        <v>0</v>
      </c>
      <c r="D8" s="24">
        <f>SUM(D5:D7)</f>
        <v>0</v>
      </c>
      <c r="E8" s="24">
        <f>SUM(E5:E7)</f>
        <v>0</v>
      </c>
      <c r="F8" s="24">
        <f>SUM(F5:F7)</f>
        <v>0</v>
      </c>
      <c r="G8" s="24">
        <f>SUM(G5:G7)</f>
        <v>0</v>
      </c>
      <c r="H8" s="24">
        <f>SUM(H5:H7)</f>
        <v>0</v>
      </c>
      <c r="I8" s="24">
        <f>SUM(I5:I7)</f>
        <v>0</v>
      </c>
    </row>
    <row r="10" spans="2:9">
      <c r="B10" s="25" t="s">
        <v>224</v>
      </c>
      <c r="C10" s="20">
        <f>COUNTIFS('Prüfprotokoll'!B5:B78,"TIP S6",'Prüfprotokoll'!G5:G78,TRUE)</f>
        <v>0</v>
      </c>
    </row>
    <row r="11" spans="2:9">
      <c r="B11" s="25" t="s">
        <v>225</v>
      </c>
      <c r="C11" s="20">
        <f>COUNTIFS('Prüfprotokoll'!B5:B78,"PA",'Prüfprotokoll'!G5:G78,TRUE)</f>
        <v>0</v>
      </c>
    </row>
    <row r="13" spans="2:9">
      <c r="B13" s="5" t="s">
        <v>226</v>
      </c>
      <c r="C13" s="5"/>
      <c r="D13" s="5"/>
      <c r="E13" s="5"/>
      <c r="F13" s="5"/>
      <c r="G13" s="5"/>
      <c r="H13" s="5"/>
      <c r="I13" s="5"/>
    </row>
    <row r="14" spans="2:9">
      <c r="B14" s="6" t="s">
        <v>227</v>
      </c>
      <c r="C14" s="25">
        <f>IF(AND(H8=0,I8=0),"Ja – alle Fragen beantwortet","Nein – "&amp;H8&amp;" offen, "&amp;I8&amp;" mehrfach angehakt")</f>
        <v>0</v>
      </c>
      <c r="D14" s="11"/>
      <c r="E14" s="11"/>
      <c r="F14" s="11"/>
      <c r="G14" s="11"/>
      <c r="H14" s="11"/>
      <c r="I14" s="11"/>
    </row>
    <row r="16" spans="2:9">
      <c r="B16" s="5" t="s">
        <v>228</v>
      </c>
      <c r="C16" s="5"/>
      <c r="D16" s="5"/>
      <c r="E16" s="5"/>
      <c r="F16" s="5"/>
      <c r="G16" s="5"/>
      <c r="H16" s="5"/>
      <c r="I16" s="5"/>
    </row>
    <row r="17" spans="2:9">
      <c r="B17" s="6" t="s">
        <v>229</v>
      </c>
      <c r="C17" s="6" t="s">
        <v>230</v>
      </c>
      <c r="D17" s="6" t="s">
        <v>3</v>
      </c>
      <c r="E17" s="6" t="s">
        <v>231</v>
      </c>
      <c r="F17" s="6"/>
      <c r="G17" s="6" t="s">
        <v>232</v>
      </c>
      <c r="H17" s="6"/>
      <c r="I17" s="6" t="s">
        <v>233</v>
      </c>
    </row>
    <row r="18" spans="2:9">
      <c r="B18" s="11"/>
      <c r="C18" s="11"/>
      <c r="D18" s="11"/>
      <c r="E18" s="11"/>
      <c r="F18" s="11"/>
      <c r="G18" s="11"/>
      <c r="H18" s="11"/>
      <c r="I18" s="26" t="b">
        <v>0</v>
      </c>
    </row>
    <row r="19" spans="2:9">
      <c r="B19" s="11"/>
      <c r="C19" s="11"/>
      <c r="D19" s="11"/>
      <c r="E19" s="11"/>
      <c r="F19" s="11"/>
      <c r="G19" s="11"/>
      <c r="H19" s="11"/>
      <c r="I19" s="26" t="b">
        <v>0</v>
      </c>
    </row>
    <row r="20" spans="2:9">
      <c r="B20" s="11"/>
      <c r="C20" s="11"/>
      <c r="D20" s="11"/>
      <c r="E20" s="11"/>
      <c r="F20" s="11"/>
      <c r="G20" s="11"/>
      <c r="H20" s="11"/>
      <c r="I20" s="26" t="b">
        <v>0</v>
      </c>
    </row>
    <row r="21" spans="2:9">
      <c r="B21" s="11"/>
      <c r="C21" s="11"/>
      <c r="D21" s="11"/>
      <c r="E21" s="11"/>
      <c r="F21" s="11"/>
      <c r="G21" s="11"/>
      <c r="H21" s="11"/>
      <c r="I21" s="26" t="b">
        <v>0</v>
      </c>
    </row>
    <row r="22" spans="2:9">
      <c r="B22" s="11"/>
      <c r="C22" s="11"/>
      <c r="D22" s="11"/>
      <c r="E22" s="11"/>
      <c r="F22" s="11"/>
      <c r="G22" s="11"/>
      <c r="H22" s="11"/>
      <c r="I22" s="26" t="b">
        <v>0</v>
      </c>
    </row>
    <row r="23" spans="2:9">
      <c r="B23" s="11"/>
      <c r="C23" s="11"/>
      <c r="D23" s="11"/>
      <c r="E23" s="11"/>
      <c r="F23" s="11"/>
      <c r="G23" s="11"/>
      <c r="H23" s="11"/>
      <c r="I23" s="26" t="b">
        <v>0</v>
      </c>
    </row>
    <row r="24" spans="2:9">
      <c r="B24" s="11"/>
      <c r="C24" s="11"/>
      <c r="D24" s="11"/>
      <c r="E24" s="11"/>
      <c r="F24" s="11"/>
      <c r="G24" s="11"/>
      <c r="H24" s="11"/>
      <c r="I24" s="26" t="b">
        <v>0</v>
      </c>
    </row>
    <row r="25" spans="2:9">
      <c r="B25" s="11"/>
      <c r="C25" s="11"/>
      <c r="D25" s="11"/>
      <c r="E25" s="11"/>
      <c r="F25" s="11"/>
      <c r="G25" s="11"/>
      <c r="H25" s="11"/>
      <c r="I25" s="26" t="b">
        <v>0</v>
      </c>
    </row>
    <row r="26" spans="2:9">
      <c r="B26" s="11"/>
      <c r="C26" s="11"/>
      <c r="D26" s="11"/>
      <c r="E26" s="11"/>
      <c r="F26" s="11"/>
      <c r="G26" s="11"/>
      <c r="H26" s="11"/>
      <c r="I26" s="26" t="b">
        <v>0</v>
      </c>
    </row>
    <row r="27" spans="2:9">
      <c r="B27" s="11"/>
      <c r="C27" s="11"/>
      <c r="D27" s="11"/>
      <c r="E27" s="11"/>
      <c r="F27" s="11"/>
      <c r="G27" s="11"/>
      <c r="H27" s="11"/>
      <c r="I27" s="26" t="b">
        <v>0</v>
      </c>
    </row>
    <row r="29" spans="2:9">
      <c r="B29" s="5" t="s">
        <v>234</v>
      </c>
      <c r="C29" s="5"/>
      <c r="D29" s="5"/>
      <c r="E29" s="5"/>
      <c r="F29" s="5"/>
      <c r="G29" s="5"/>
      <c r="H29" s="5"/>
      <c r="I29" s="5"/>
    </row>
    <row r="30" spans="2:9">
      <c r="B30" s="6"/>
      <c r="C30" s="6" t="s">
        <v>197</v>
      </c>
      <c r="D30" s="6"/>
      <c r="E30" s="6"/>
      <c r="F30" s="6"/>
      <c r="G30" s="6" t="s">
        <v>235</v>
      </c>
      <c r="H30" s="6"/>
      <c r="I30" s="6"/>
    </row>
    <row r="31" spans="2:9" ht="26" customHeight="1">
      <c r="B31" s="6" t="s">
        <v>236</v>
      </c>
      <c r="C31" s="7"/>
      <c r="D31" s="7"/>
      <c r="E31" s="7"/>
      <c r="F31" s="7"/>
      <c r="G31" s="7"/>
      <c r="H31" s="7"/>
      <c r="I31" s="7"/>
    </row>
    <row r="32" spans="2:9" ht="26" customHeight="1">
      <c r="B32" s="6" t="s">
        <v>237</v>
      </c>
      <c r="C32" s="7"/>
      <c r="D32" s="7"/>
      <c r="E32" s="7"/>
      <c r="F32" s="7"/>
      <c r="G32" s="7"/>
      <c r="H32" s="7"/>
      <c r="I32" s="7"/>
    </row>
    <row r="33" spans="2:9" ht="26" customHeight="1">
      <c r="B33" s="6" t="s">
        <v>198</v>
      </c>
      <c r="C33" s="7"/>
      <c r="D33" s="7"/>
      <c r="E33" s="7"/>
      <c r="F33" s="7"/>
      <c r="G33" s="7"/>
      <c r="H33" s="7"/>
      <c r="I33" s="7"/>
    </row>
    <row r="34" spans="2:9" ht="26" customHeight="1">
      <c r="B34" s="6" t="s">
        <v>238</v>
      </c>
      <c r="C34" s="7"/>
      <c r="D34" s="7"/>
      <c r="E34" s="7"/>
      <c r="F34" s="7"/>
      <c r="G34" s="7"/>
      <c r="H34" s="7"/>
      <c r="I34" s="7"/>
    </row>
  </sheetData>
  <mergeCells count="36">
    <mergeCell ref="B13:I13"/>
    <mergeCell ref="C14:I14"/>
    <mergeCell ref="B16:I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B29:I29"/>
    <mergeCell ref="C30:F30"/>
    <mergeCell ref="G30:I30"/>
    <mergeCell ref="C31:F31"/>
    <mergeCell ref="G31:I31"/>
    <mergeCell ref="C32:F32"/>
    <mergeCell ref="G32:I32"/>
    <mergeCell ref="C33:F33"/>
    <mergeCell ref="G33:I33"/>
    <mergeCell ref="C34:F34"/>
    <mergeCell ref="G34:I34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Deckblatt</vt:lpstr>
      <vt:lpstr>Prüfprotokoll</vt:lpstr>
      <vt:lpstr>Ergebnis</vt:lpstr>
      <vt:lpstr>Prüfprotokoll!Print_Titles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Prüfprotokoll RBC – TIP S6 – Software RBC</dc:title>
  <dc:creator>Hitachi Rail – Interne Abnahmeprüfung</dc:creator>
  <cp:lastModifiedBy>Hitachi Rail – Interne Abnahmeprüfung</cp:lastModifiedBy>
  <dcterms:created xsi:type="dcterms:W3CDTF">2026-10-08T16:35:11Z</dcterms:created>
  <dcterms:modified xsi:type="dcterms:W3CDTF">2026-10-08T16:35:11Z</dcterms:modified>
</cp:coreProperties>
</file>