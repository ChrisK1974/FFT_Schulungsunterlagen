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EB3C2ABD3FD655977F9725A841A3913F3230B52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Prüfprotokoll!$A$4:$J$86</definedName>
    <definedName name="_xlnm.Print_Titles" localSheetId="1">Prüfprotokoll!$4:$4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C13" i="3"/>
  <c r="C12" i="3"/>
  <c r="I10" i="3"/>
  <c r="H10" i="3"/>
  <c r="G10" i="3"/>
  <c r="F10" i="3"/>
  <c r="E10" i="3"/>
  <c r="D10" i="3"/>
  <c r="C10" i="3"/>
  <c r="I9" i="3"/>
  <c r="H9" i="3"/>
  <c r="G9" i="3"/>
  <c r="F9" i="3"/>
  <c r="E9" i="3"/>
  <c r="D9" i="3"/>
  <c r="C9" i="3"/>
  <c r="I8" i="3"/>
  <c r="H8" i="3"/>
  <c r="G8" i="3"/>
  <c r="F8" i="3"/>
  <c r="E8" i="3"/>
  <c r="D8" i="3"/>
  <c r="C8" i="3"/>
  <c r="I7" i="3"/>
  <c r="H7" i="3"/>
  <c r="G7" i="3"/>
  <c r="F7" i="3"/>
  <c r="E7" i="3"/>
  <c r="D7" i="3"/>
  <c r="C7" i="3"/>
  <c r="I6" i="3"/>
  <c r="H6" i="3"/>
  <c r="G6" i="3"/>
  <c r="F6" i="3"/>
  <c r="E6" i="3"/>
  <c r="D6" i="3"/>
  <c r="C6" i="3"/>
  <c r="I5" i="3"/>
  <c r="H5" i="3"/>
  <c r="G5" i="3"/>
  <c r="F5" i="3"/>
  <c r="E5" i="3"/>
  <c r="D5" i="3"/>
  <c r="C5" i="3"/>
  <c r="I86" i="2"/>
  <c r="I84" i="2"/>
  <c r="I83" i="2"/>
  <c r="I82" i="2"/>
  <c r="I81" i="2"/>
  <c r="I80" i="2"/>
  <c r="I79" i="2"/>
  <c r="I78" i="2"/>
  <c r="I77" i="2"/>
  <c r="I75" i="2"/>
  <c r="I74" i="2"/>
  <c r="I73" i="2"/>
  <c r="I72" i="2"/>
  <c r="I71" i="2"/>
  <c r="I70" i="2"/>
  <c r="I69" i="2"/>
  <c r="I66" i="2"/>
  <c r="I64" i="2"/>
  <c r="I63" i="2"/>
  <c r="I61" i="2"/>
  <c r="I60" i="2"/>
  <c r="I59" i="2"/>
  <c r="I58" i="2"/>
  <c r="I57" i="2"/>
  <c r="I55" i="2"/>
  <c r="I54" i="2"/>
  <c r="I53" i="2"/>
  <c r="I52" i="2"/>
  <c r="I51" i="2"/>
  <c r="I50" i="2"/>
  <c r="I49" i="2"/>
  <c r="I48" i="2"/>
  <c r="I47" i="2"/>
  <c r="I44" i="2"/>
  <c r="I43" i="2"/>
  <c r="I42" i="2"/>
  <c r="I41" i="2"/>
  <c r="I40" i="2"/>
  <c r="I39" i="2"/>
  <c r="I36" i="2"/>
  <c r="I35" i="2"/>
  <c r="I34" i="2"/>
  <c r="I33" i="2"/>
  <c r="I31" i="2"/>
  <c r="I30" i="2"/>
  <c r="I29" i="2"/>
  <c r="I27" i="2"/>
  <c r="I26" i="2"/>
  <c r="I25" i="2"/>
  <c r="I24" i="2"/>
  <c r="I23" i="2"/>
  <c r="I20" i="2"/>
  <c r="I18" i="2"/>
  <c r="I17" i="2"/>
  <c r="I16" i="2"/>
  <c r="I14" i="2"/>
  <c r="I13" i="2"/>
  <c r="I12" i="2"/>
  <c r="I11" i="2"/>
  <c r="I10" i="2"/>
  <c r="I9" i="2"/>
  <c r="I8" i="2"/>
  <c r="I7" i="2"/>
</calcChain>
</file>

<file path=xl/sharedStrings.xml><?xml version="1.0" encoding="utf-8"?>
<sst xmlns="http://schemas.openxmlformats.org/spreadsheetml/2006/main" count="333" uniqueCount="235">
  <si>
    <t>Hitachi Rail</t>
  </si>
  <si>
    <t>Interne Abnahmeprüfung (FFT) · ITC</t>
  </si>
  <si>
    <t>Prüfprotokoll Stellwerkskern</t>
  </si>
  <si>
    <t>TIP S1 – Software Stellwerkskern und Prüfanleitung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</si>
  <si>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</si>
  <si>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</si>
  <si>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</si>
  <si>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</si>
  <si>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</si>
  <si>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Systemversionen (LBS, MEM, SM, EAM, AzLM)</t>
  </si>
  <si>
    <t>PT1-Stand laut PBL</t>
  </si>
  <si>
    <t>Neuanlage / Bauzustand (Differenz)</t>
  </si>
  <si>
    <t>Prüfer</t>
  </si>
  <si>
    <t>Datum</t>
  </si>
  <si>
    <t>Herkunft der Fragen</t>
  </si>
  <si>
    <t>TIP S1</t>
  </si>
  <si>
    <t>Frage aus dem TIP S1 – Software Stellwerkskern. Zeile hellorange. Formal verbindlich; Ergebnis 1:1 ins TIP übertragen.</t>
  </si>
  <si>
    <t>PA</t>
  </si>
  <si>
    <t>Prüfanleitung: Einzelschritt (PT1-Tabelle, Prüfdokument, Simulation), mit dem eine TIP-Frage nachgewiesen wird. Aus der Schulungsunterlage, teils auf Basis historischer Arbeitsnotizen – vor Nutzung mit aktuellem Stand abgleichen.</t>
  </si>
  <si>
    <t>Bewertung</t>
  </si>
  <si>
    <t>i. O. – in Ordnung</t>
  </si>
  <si>
    <t>TIP: Ja</t>
  </si>
  <si>
    <t>Entspricht der Vorgabe (PT1, Prüfdokument, Planung).</t>
  </si>
  <si>
    <t>n. i. O. – nicht in Ordnung</t>
  </si>
  <si>
    <t>TIP: Nein</t>
  </si>
  <si>
    <t>Abweichung im Prüfbuch erfassen, Prüfbuch-Nr. in „Bemerkung“.</t>
  </si>
  <si>
    <t>n. z. – nicht zutreffend</t>
  </si>
  <si>
    <t>TIP: als n. z. kennzeichnen</t>
  </si>
  <si>
    <t>Sachverhalt kommt nicht vor; kurz begründen.</t>
  </si>
  <si>
    <t>Bedienung der Excel-Datei</t>
  </si>
  <si>
    <t>•  Je Zeile genau ein Kästchen anhaken. „Status“ zeigt offen / erledigt / n. i. O. / mehrfach!.</t>
  </si>
  <si>
    <t>•  Eine TIP-Frage erst mit i. O. bewerten, wenn alle zugehörigen PA-Schritte i. O. oder n. z. sind.</t>
  </si>
  <si>
    <t>•  Spalte „Bezug (Link)“: TIP-Frage → erster zugehöriger PA-Schritt („+n“ = weitere); PA-Schritt → TIP-Frage. ↑ = weiter oben, ↓ = weiter unten.</t>
  </si>
  <si>
    <t>•  Filter in Spalte „Herkunft“: nur TIP- oder nur PA-Zeilen anzeigen.</t>
  </si>
  <si>
    <t>•  Nachweis der PT1-Prüfung bleibt das Abhaken im PT1 (TIP-Manteldokument, Anhang A.1).</t>
  </si>
  <si>
    <t>•  Kästchen = Zellkontrollkästchen (Microsoft 365). Ältere Excel-Versionen zeigen WAHR/FALSCH; Wert dann per Eingabe ändern.</t>
  </si>
  <si>
    <t>Prüfprotokoll Stellwerkskern – TIP S1 – Software Stellwerkskern und Prüfanleitung</t>
  </si>
  <si>
    <t>ESTW L90 · DB InfraGO · Prüfgrundlagen: TIP S1 (Template-Ausg. 01), Schulungsunterlage Softwareprüfung ESTW L90 (Phase 4 und 5) · Projektdaten und Anleitung: Blatt „Deckblatt“</t>
  </si>
  <si>
    <t>Nr.</t>
  </si>
  <si>
    <t>Herkunft</t>
  </si>
  <si>
    <t>TIP-Nr. / PA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</si>
  <si>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</si>
  <si>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</si>
  <si>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</si>
  <si>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</si>
  <si>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</si>
  <si>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</si>
  <si>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</si>
  <si>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Elemente</t>
  </si>
  <si>
    <t>TIP S1 – Elemente</t>
  </si>
  <si>
    <t>Nr. 1</t>
  </si>
  <si>
    <t>Sind alle Signalbegriffe (inkl. Zs-Begriffe) nach Signaltabelle 1 projektiert?</t>
  </si>
  <si>
    <t>↓ PA 1 (+1)</t>
  </si>
  <si>
    <t>Nr. 2</t>
  </si>
  <si>
    <t>Sind alle Zs-Lichtsignale mit Überwachung und alle Formsignale ohne Überwachung projektiert?</t>
  </si>
  <si>
    <t>Nr. 3</t>
  </si>
  <si>
    <t>Falls Flachkreuzungen oder EBÜT80-Fü-Anlage vorhanden sind: Ist zwingend die Version KAEAMxx oder &gt; El15 im Einsatz?</t>
  </si>
  <si>
    <t>Nr. 4</t>
  </si>
  <si>
    <t>Hat das SV-Element Nr. 2 bei EAMs mit SV-Diagnosemeldungen die gleiche Zuordnungs-Nr. wie Element Nr. 1, und bei EAMs ohne SV-Diagnosemeldungen die Zuordnungs-Nr. 1?</t>
  </si>
  <si>
    <t>Nr. 5</t>
  </si>
  <si>
    <t>Ist für alle Signale am Mast die gleiche Zuordnungs-Nr. &gt; 1 projektiert?</t>
  </si>
  <si>
    <t>Nr. 6</t>
  </si>
  <si>
    <t>(Prüfdokumente Konfiguration Testzentrum – HW-Installationsplan Modulschnittstellen) Stimmt die SW-Projektierung der Schnittstellen mit der Hardwareprojektierung überein?</t>
  </si>
  <si>
    <t>↓ PA 4</t>
  </si>
  <si>
    <t>Nr. 7</t>
  </si>
  <si>
    <t>(Prüfdokumente Vergl_hw_sw.doc) Stimmt die Projektierung von Software und Hardware überein?</t>
  </si>
  <si>
    <t>Nr. 8</t>
  </si>
  <si>
    <t>(Prüfdokumente Vergl_hw_sw.doc) Stimmt der EAM-Offset in der Elementliste mit dem der Software überein (Elementnummernoffset in den statischen Elementdaten)?</t>
  </si>
  <si>
    <t>Prüfanleitung – Signaltabelle Teil 1</t>
  </si>
  <si>
    <t>PA 1</t>
  </si>
  <si>
    <t>Signaltabelle 1: Wurde für jeden Zs-Anzeiger in der Elementliste (&lt;Stw&gt;.ELX) die Überwachung geprüft (V = Voranzeiger, G = Geschwindigkeitsanzeiger; U:J = überwacht, U:N = nicht überwacht) und in der Signaltabelle Teil 1 abgehakt?</t>
  </si>
  <si>
    <t>↑ S1 Nr. 1, 2</t>
  </si>
  <si>
    <t>PA 2</t>
  </si>
  <si>
    <t>Signaltabelle 1: Nur Teilerneuerungen mit Hv-Signalisierung: Sind Geschwindigkeitsanzeiger mit Kennzahl 5 und 6 als nicht überwacht projektiert (siehe auch Nr. 27)?</t>
  </si>
  <si>
    <t>↑ S1 Nr. 2, 27</t>
  </si>
  <si>
    <t>PA 3</t>
  </si>
  <si>
    <t>Signaltabelle 1: Wurden alle Signalbegriffe der Signaltabelle Teil 1 in SIMBA am Signal aufgeschaltet, verglichen und im PT1 abgehakt?</t>
  </si>
  <si>
    <t>↑ S1 Nr. 1</t>
  </si>
  <si>
    <t>Prüfanleitung – HW/SW-Konsistenz</t>
  </si>
  <si>
    <t>PA 4</t>
  </si>
  <si>
    <t>HW/SW: Wurden die Prüfdokumente (HW-Installationsplan Modulschnittstellen, Vergl_hw_sw.doc) ausgedruckt, abgehakt und im Prüfordner abgelegt?</t>
  </si>
  <si>
    <t>↑ S1 Nr. 6, 7, 8</t>
  </si>
  <si>
    <t>3  Weichen</t>
  </si>
  <si>
    <t>TIP S1 – Weichen</t>
  </si>
  <si>
    <t>Nr. 9</t>
  </si>
  <si>
    <t>Ist die Grenzzeichenfreiheit aller Weichen nach Flankenschutztabelle projektiert?</t>
  </si>
  <si>
    <t>↓ PA 5 (+1)</t>
  </si>
  <si>
    <t>Nr. 10</t>
  </si>
  <si>
    <t>Ist die Vorzugslage der Weichen nach Flankenschutztabelle projektiert?</t>
  </si>
  <si>
    <t>↓ PA 7</t>
  </si>
  <si>
    <t>Nr. 11</t>
  </si>
  <si>
    <t>Ist der Zwieschutz nach Zwieschutzweichentabelle projektiert?</t>
  </si>
  <si>
    <t>↓ PA 8 (+3)</t>
  </si>
  <si>
    <t>Nr. 12</t>
  </si>
  <si>
    <t>Falls nach Weichentabelle Flachkreuzungen mit Weichenantrieb vorhanden sind: Ist im Lupenbild das korrekte Symbol projektiert?</t>
  </si>
  <si>
    <t>Nr. 13</t>
  </si>
  <si>
    <t>Falls nach Weichentabelle Weichen mit 2 Weichenantrieben vorhanden sind: Ist in HW und SW die Elementart 13hex projektiert?</t>
  </si>
  <si>
    <t>Prüfanleitung – Flankenschutztabelle (Grenzzeichen, Vorzugslage)</t>
  </si>
  <si>
    <t>PA 5</t>
  </si>
  <si>
    <t>Flankenschutztabelle: Grenzzeichenfreiheit: Wurde für jede Weiche die gegenüberliegende Weiche umgestellt, die Weiche belegt und die Ausleuchtung im nicht befahrenen Strang beobachtet – in beiden Lagen?</t>
  </si>
  <si>
    <t>↑ S1 Nr. 9</t>
  </si>
  <si>
    <t>PA 6</t>
  </si>
  <si>
    <t>Flankenschutztabelle: Wurde der PT1-Eintrag mit dem Prüfdokument „Nicht grenzzeichenfreie Weichen und Kreuzungen“ verglichen (enthält nur Einträge mit „Ja“) und das Prüfdokument im Prüfordner abgelegt?</t>
  </si>
  <si>
    <t>PA 7</t>
  </si>
  <si>
    <t>Flankenschutztabelle: Wurden automatischer Umlauf und Vorzugslage über Fahrstraßeneinstellung geprüft und im PT1 abgehakt?</t>
  </si>
  <si>
    <t>↑ S1 Nr. 10</t>
  </si>
  <si>
    <t>Prüfanleitung – Zwieschutzweichentabelle</t>
  </si>
  <si>
    <t>PA 8</t>
  </si>
  <si>
    <t>Zwieschutz: Zwieschutzweiche „Eigen“: Ist nach Einstellen einer Fahrstraße über die Weiche immer eine Seite verschlossen?</t>
  </si>
  <si>
    <t>↑ S1 Nr. 11</t>
  </si>
  <si>
    <t>PA 9</t>
  </si>
  <si>
    <t>Zwieschutz: Zwieschutzweiche „Echt“: Wird bei zwei eingestellten Fahrstraßen der Flankenschutz weitergegeben (grüner Verschlussmelder wird weitergereicht)?</t>
  </si>
  <si>
    <t>PA 10</t>
  </si>
  <si>
    <t>Zwieschutz: Wurde die Nachlaufverhinderung im Elementdaten-Formblatt (&lt;Stw&gt;EF.FBL, „Weichennachlauf bei Zwieschutzauflösung“) geprüft?</t>
  </si>
  <si>
    <t>PA 11</t>
  </si>
  <si>
    <t>Zwieschutz: Wurde durch Belegen angrenzender Elemente (Weichen, Gleisabschnitte) der Flankenschutz geprüft?</t>
  </si>
  <si>
    <t>4  Zugsicherungssystem (ZSS)</t>
  </si>
  <si>
    <t>TIP S1 – Zugsicherungssystem (ZSS)</t>
  </si>
  <si>
    <t>Nr. 14</t>
  </si>
  <si>
    <t>Ist der Dunkelschaltanstoß nur für die geforderten Signale wirksam?</t>
  </si>
  <si>
    <t>Nr. 15</t>
  </si>
  <si>
    <t>Werden alle erforderlichen Weichenlagen an den LanCop E2 übertragen?</t>
  </si>
  <si>
    <t>Nr. 16</t>
  </si>
  <si>
    <t>Werden alle erforderlichen Signalbegriffe an den LanCop E2 übertragen?</t>
  </si>
  <si>
    <t>Nr. 17</t>
  </si>
  <si>
    <t>Werden alle erforderlichen D-Weg-Längen an den LanCop E2 übertragen?</t>
  </si>
  <si>
    <t>Nr. 18</t>
  </si>
  <si>
    <t>Prüfung in der rückgelesenen Fahrstraßenliste: Ist der Parameter „Fahrt aus LZB-Bereich“ bei allen Fahrstraßen, die aus dem ZSS-überwachten Bereich führen, mit „JA“ projektiert?</t>
  </si>
  <si>
    <t>Nr. 19</t>
  </si>
  <si>
    <t>Stimmt der angegebene EAM-Bereich mit der Elementliste überein (auch nicht meldende Elemente, z. B. Ls, im Wertebereich berücksichtigen)?</t>
  </si>
  <si>
    <t>5  Weitere Prüfungen</t>
  </si>
  <si>
    <t>TIP S1 – Weitere Prüfungen</t>
  </si>
  <si>
    <t>Nr. 20</t>
  </si>
  <si>
    <t>Falls Selbstblockanpassung Bauform Siemens Sb60 projektiert ist: Ist ein BG-Kommando projektiert?</t>
  </si>
  <si>
    <t>Nr. 21</t>
  </si>
  <si>
    <t>Falls KM-Gruppe zur Ausgabe der Frei-/Besetztmeldung eines AZA-Abschnittes projektiert ist: Wird bei besetztem Abschnitt Kommando 1 und bei freiem Abschnitt Kommando 2 ausgegeben?</t>
  </si>
  <si>
    <t>Nr. 22</t>
  </si>
  <si>
    <t>Falls KM-Gruppe zur Vorsignalsteuerung projektiert ist: Wirken die nach Sonderschaltung angeschalteten Melderelais korrekt auf die Signalisierung?</t>
  </si>
  <si>
    <t>Nr. 23</t>
  </si>
  <si>
    <t>Falls KM-Gruppe zur AZG-Bedienung projektiert ist: Wird das nach Sonderschaltung projektierte Kommando ausgegeben?</t>
  </si>
  <si>
    <t>Nr. 24</t>
  </si>
  <si>
    <t>Ist Ersatzsignal bzw. Vorsichtsignal nach Signaltabelle 1 projektiert?</t>
  </si>
  <si>
    <t>↓ PA 12 (+4)</t>
  </si>
  <si>
    <t>Nr. 25</t>
  </si>
  <si>
    <t>Ist die Blockanpassung entsprechend der Streckenblocktabelle projektiert?</t>
  </si>
  <si>
    <t>↓ PA 17 (+1)</t>
  </si>
  <si>
    <t>Nr. 26</t>
  </si>
  <si>
    <t>Falls eine Zentralblockschnittstelle zum EB L2000 projektiert ist und das letzte LZ im ESTW in Fahrtrichtung zur Blockgrenze am Standort des Vorsignals oder zwischen Vor- und Hauptsignal des Nachbarbahnhofs steht: Ist beim LZ in den statischen Elementdaten der Parameter D projektiert?</t>
  </si>
  <si>
    <t>Nr. 27</t>
  </si>
  <si>
    <t>Nur für Teilerneuerungen mit Hv-Signalisierung: Sind die Geschwindigkeitsanzeiger mit der Kennzahl 5 und 6 als nicht überwacht projektiert?</t>
  </si>
  <si>
    <t>↑ PA 2</t>
  </si>
  <si>
    <t>Nr. 28</t>
  </si>
  <si>
    <t>Wurden die Fehler und Warnungen in der PF.FBL und PF.FHL geprüft? Wurde durch das Tool kein Fehler gefunden bzw. wurden alle Fehler/Warnungen bewertet und als unkritisch eingestuft?</t>
  </si>
  <si>
    <t>↓ PA 19</t>
  </si>
  <si>
    <t>Prüfanleitung – Ersatz-/Vorsichtsignal (Zs 1 / Zs 7)</t>
  </si>
  <si>
    <t>PA 12</t>
  </si>
  <si>
    <t>Signaltabelle 1: Blocksignale: Wurden Zs 1 (EE1) und Zs 7 (VE1) bei belegtem Abschnitt vor dem Signal geprüft?</t>
  </si>
  <si>
    <t>↑ S1 Nr. 24</t>
  </si>
  <si>
    <t>PA 13</t>
  </si>
  <si>
    <t>Signaltabelle 1: Einfahrsignale: Wurden VE1 und VE2 bei belegtem Abschnitt vor dem Signal geprüft?</t>
  </si>
  <si>
    <t>PA 14</t>
  </si>
  <si>
    <t>Signaltabelle 1: Ausfahrsignale: Wurden EE1 und EE2 geprüft (keine Belegung nötig)?</t>
  </si>
  <si>
    <t>PA 15</t>
  </si>
  <si>
    <t>Signaltabelle 1: EE1/VE1 ohne gesperrte Weichenlaufkette: Blinkt der FÜM erst, wenn alle Fahrwegelemente verschlossen sind? EE2/VE2 mit gesperrter WLK („freies Stellen“) geprüft?</t>
  </si>
  <si>
    <t>PA 16</t>
  </si>
  <si>
    <t>Signaltabelle 1: Startsignale mit Fü-Wirksamschaltung (Schaltfall 2/12): Ist das abweichende Verhalten (kein VE2/EE2, keine Ersatzsignalfahrstraße, siehe TIP S2 Nr. 25/26) bestätigt?</t>
  </si>
  <si>
    <t>Prüfanleitung – Streckenblock / Zentralblock</t>
  </si>
  <si>
    <t>PA 17</t>
  </si>
  <si>
    <t>Streckenblocktabelle: Wurden im Elementdaten-Formblatt des ZV-Elements die Programmfälle geprüft: Streckenart, automatischer Richtungswechsel, Erlaubnisrückgabe nach Gegenfahrt, Speicherung der Erlaubnisabgabe, Erlaubniswechsel von Zuglenkung, Beginn Zentralblockstartbereich?</t>
  </si>
  <si>
    <t>↑ S1 Nr. 25</t>
  </si>
  <si>
    <t>PA 18</t>
  </si>
  <si>
    <t>Streckenblocktabelle: Wurden Nachbarelemente und Elementrichtung (Nachbar zur Blockstrecke, Nachbar zum Bahnhof, topologische Richtung, Fahrtrichtung im Regelbetrieb) gegen die Planung geprüft?</t>
  </si>
  <si>
    <t>Prüfanleitung – Toolreports</t>
  </si>
  <si>
    <t>PA 19</t>
  </si>
  <si>
    <t>Toolprüfung: Ist jede Fehler-/Warnmeldung aus PF.FBL/PF.FHL einzeln begründet als unkritisch eingestuft und die Begründung im Prüfbuch bzw. auf dem Report dokumentiert?</t>
  </si>
  <si>
    <t>↑ S1 Nr. 28</t>
  </si>
  <si>
    <t>6  Schnittstellen (SCI-ILS, ETCS) und Toolprüfung</t>
  </si>
  <si>
    <t>TIP S1 – Schnittstellen und Toolprüfung</t>
  </si>
  <si>
    <t>Nr. 29</t>
  </si>
  <si>
    <t>Falls SCI-ILS vorhanden: Sind bei einer SCI-ILS-Schnittstelle die Parameter IP-Adressen, Gateways, Subnetzmaske, UDP-Ports, RaSTA-IDs, RaSTA-Netzwerk Anfangs-MD4, Streckenblockbezeichner und Richtungsmaster auf Korrektheit überprüft?</t>
  </si>
  <si>
    <t>↓ PA 20 (+7)</t>
  </si>
  <si>
    <t>Nr. 30</t>
  </si>
  <si>
    <t>Falls SCI-ILS vorhanden: Wurden pro SCI-ILS-Verbindung maximal 3 BTP-Verbindungen projektiert?</t>
  </si>
  <si>
    <t>Nr. 31</t>
  </si>
  <si>
    <t>Stimmen die BTP-Prüfsummen in den EAM-Daten mit denen jedes Teilsystems (nur SEC, AzA, NSTW mit SCI-ILS) überein? Existiert keine BTP-Prüfsumme mit der Länge 0?</t>
  </si>
  <si>
    <t>Nr. 32</t>
  </si>
  <si>
    <t>Wurden die Daten vom L90 Data Validator geprüft? Wurde durch das Tool kein Fehler gefunden bzw. wurden alle Fehler/Warnungen bewertet und als unkritisch eingestuft?</t>
  </si>
  <si>
    <t>↓ PA 28</t>
  </si>
  <si>
    <t>Nr. 33</t>
  </si>
  <si>
    <t>Wurden die Daten vom RENT geprüft? Wurde durch das Tool kein Fehler gefunden bzw. wurden alle Fehler/Warnungen bewertet und als unkritisch eingestuft?</t>
  </si>
  <si>
    <t>Nr. 34</t>
  </si>
  <si>
    <t>Wurden die Daten vom SCI-ILS Interface Verification Report geprüft? Wurde durch das Tool kein Fehler gefunden bzw. wurden alle Fehler/Warnungen bewertet und als unkritisch eingestuft?</t>
  </si>
  <si>
    <t>Nr. 35</t>
  </si>
  <si>
    <t>Falls ETCS vorhanden: Stimmen die Netzwerkparameter des Redundanzkanals mit denen des angeschlossenen RBC überein?</t>
  </si>
  <si>
    <t>Prüfanleitung – SCI-ILS-Parameter im Einzelnen</t>
  </si>
  <si>
    <t>PA 20</t>
  </si>
  <si>
    <t>SCI-ILS: IP-Adressen A- und B-Kanal: Nachbarstellwerk (ncd → SMx.yml) und eigenes Stellwerk (cybergate → fwailx.json / fwbilx.json) korrekt?</t>
  </si>
  <si>
    <t>↑ S1 Nr. 29</t>
  </si>
  <si>
    <t>PA 21</t>
  </si>
  <si>
    <t>SCI-ILS: Gateways A- und B-Kanal (ESTW-Netz → SystemdokuESTW_AZLMxx) korrekt?</t>
  </si>
  <si>
    <t>PA 22</t>
  </si>
  <si>
    <t>SCI-ILS: Subnetzmaske (ESTW-Netz → SystemdokuESTW_AZLMxx) korrekt?</t>
  </si>
  <si>
    <t>PA 23</t>
  </si>
  <si>
    <t>SCI-ILS: UDP-Ports (ncd → SMx.yml) korrekt?</t>
  </si>
  <si>
    <t>PA 24</t>
  </si>
  <si>
    <t>SCI-ILS: RaSTA-IDs (ncd → SMx.yml, dezimal) korrekt?</t>
  </si>
  <si>
    <t>PA 25</t>
  </si>
  <si>
    <t>SCI-ILS: RaSTA-Netzwerk Anfangs-MD4 (ncd → SMx.yml; 2er-Pärchen von hinten nach vorne projektiert) korrekt?</t>
  </si>
  <si>
    <t>PA 26</t>
  </si>
  <si>
    <t>SCI-ILS: Streckenblockbezeichner (SM → Ex.MAC, zum ZB-Element als ASCII-Code) korrekt?</t>
  </si>
  <si>
    <t>PA 27</t>
  </si>
  <si>
    <t>SCI-ILS: Richtungsmaster (SM → Ex.MAC, zum ZB-Element als SKETYx-Wert) korrekt?</t>
  </si>
  <si>
    <t>PA 28</t>
  </si>
  <si>
    <t>Toolprüfung: Sind alle Reports (Data Validator, RENT, SCI-ILS IVR) mit Version/Datum in der elektronischen Ablage abgelegt und jede Meldung einzeln bewertet?</t>
  </si>
  <si>
    <t>↑ S1 Nr. 32, 33, 34</t>
  </si>
  <si>
    <t>Ergebnis – Prüfprotokoll Stellwerkskern</t>
  </si>
  <si>
    <t>Abschnitt</t>
  </si>
  <si>
    <t>offen</t>
  </si>
  <si>
    <t>mehrfach</t>
  </si>
  <si>
    <t>Summe</t>
  </si>
  <si>
    <t>Davon TIP S1 – n. i. O.</t>
  </si>
  <si>
    <t>Davon PA – n. i. O.</t>
  </si>
  <si>
    <t>Gesamtergebnis</t>
  </si>
  <si>
    <t>TIP S1 – Software Stellwerkskern – alle Prüfschritte durchgeführt</t>
  </si>
  <si>
    <t>Übertrag der Abweichungen ins Prüfbuch</t>
  </si>
  <si>
    <t>Kurzbeschreibung</t>
  </si>
  <si>
    <t>Frage-Nr.</t>
  </si>
  <si>
    <t>Prüfbuch-Nr.</t>
  </si>
  <si>
    <t>Element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</si>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</sst>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Standard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4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0</v>
      </c>
    </row>
    <row r="3" spans="2:4">
      <c r="B3" s="2" t="s">
        <v>1</v>
      </c>
    </row>
    <row r="5" spans="2:4">
      <c r="B5" s="3" t="s">
        <v>2</v>
      </c>
    </row>
    <row r="6" spans="2:4">
      <c r="B6" s="4" t="s">
        <v>3</v>
      </c>
    </row>
    <row r="7" spans="2:4">
      <c r="B7" s="2" t="s">
        <v>4</v>
      </c>
    </row>
    <row r="9" spans="2:4">
      <c r="B9" s="23" t="s">
        <v>5</v>
      </c>
      <c r="C9" s="23"/>
      <c r="D9" s="23"/>
    </row>
    <row r="10" spans="2:4">
      <c r="B10" s="6" t="s">
        <v>6</v>
      </c>
      <c r="C10" s="24"/>
      <c r="D10" s="24"/>
    </row>
    <row r="11" spans="2:4">
      <c r="B11" s="6" t="s">
        <v>7</v>
      </c>
      <c r="C11" s="24"/>
      <c r="D11" s="24"/>
    </row>
    <row r="12" spans="2:4">
      <c r="B12" s="6" t="s">
        <v>8</v>
      </c>
      <c r="C12" s="24"/>
      <c r="D12" s="24"/>
    </row>
    <row r="13" spans="2:4">
      <c r="B13" s="6" t="s">
        <v>9</v>
      </c>
      <c r="C13" s="24"/>
      <c r="D13" s="24"/>
    </row>
    <row r="14" spans="2:4">
      <c r="B14" s="6" t="s">
        <v>10</v>
      </c>
      <c r="C14" s="24"/>
      <c r="D14" s="24"/>
    </row>
    <row r="15" spans="2:4">
      <c r="B15" s="6" t="s">
        <v>11</v>
      </c>
      <c r="C15" s="24"/>
      <c r="D15" s="24"/>
    </row>
    <row r="16" spans="2:4">
      <c r="B16" s="6" t="s">
        <v>12</v>
      </c>
      <c r="C16" s="24"/>
      <c r="D16" s="24"/>
    </row>
    <row r="17" spans="2:4">
      <c r="B17" s="6" t="s">
        <v>13</v>
      </c>
      <c r="C17" s="24"/>
      <c r="D17" s="24"/>
    </row>
    <row r="19" spans="2:4">
      <c r="B19" s="23" t="s">
        <v>14</v>
      </c>
      <c r="C19" s="23"/>
      <c r="D19" s="23"/>
    </row>
    <row r="20" spans="2:4" ht="26.1" customHeight="1">
      <c r="B20" s="7" t="s">
        <v>15</v>
      </c>
      <c r="C20" s="25" t="s">
        <v>16</v>
      </c>
      <c r="D20" s="25"/>
    </row>
    <row r="21" spans="2:4" ht="38.1" customHeight="1">
      <c r="B21" s="9" t="s">
        <v>17</v>
      </c>
      <c r="C21" s="26" t="s">
        <v>18</v>
      </c>
      <c r="D21" s="26"/>
    </row>
    <row r="23" spans="2:4">
      <c r="B23" s="23" t="s">
        <v>19</v>
      </c>
      <c r="C23" s="23"/>
      <c r="D23" s="23"/>
    </row>
    <row r="24" spans="2:4">
      <c r="B24" s="6" t="s">
        <v>20</v>
      </c>
      <c r="C24" s="10" t="s">
        <v>21</v>
      </c>
      <c r="D24" s="10" t="s">
        <v>22</v>
      </c>
    </row>
    <row r="25" spans="2:4">
      <c r="B25" s="6" t="s">
        <v>23</v>
      </c>
      <c r="C25" s="10" t="s">
        <v>24</v>
      </c>
      <c r="D25" s="10" t="s">
        <v>25</v>
      </c>
    </row>
    <row r="26" spans="2:4">
      <c r="B26" s="6" t="s">
        <v>26</v>
      </c>
      <c r="C26" s="10" t="s">
        <v>27</v>
      </c>
      <c r="D26" s="10" t="s">
        <v>28</v>
      </c>
    </row>
    <row r="28" spans="2:4">
      <c r="B28" s="23" t="s">
        <v>29</v>
      </c>
      <c r="C28" s="23"/>
      <c r="D28" s="23"/>
    </row>
    <row r="29" spans="2:4" ht="26.1" customHeight="1">
      <c r="B29" s="26" t="s">
        <v>30</v>
      </c>
      <c r="C29" s="26"/>
      <c r="D29" s="26"/>
    </row>
    <row r="30" spans="2:4" ht="26.1" customHeight="1">
      <c r="B30" s="26" t="s">
        <v>31</v>
      </c>
      <c r="C30" s="26"/>
      <c r="D30" s="26"/>
    </row>
    <row r="31" spans="2:4" ht="26.1" customHeight="1">
      <c r="B31" s="26" t="s">
        <v>32</v>
      </c>
      <c r="C31" s="26"/>
      <c r="D31" s="26"/>
    </row>
    <row r="32" spans="2:4" ht="26.1" customHeight="1">
      <c r="B32" s="26" t="s">
        <v>33</v>
      </c>
      <c r="C32" s="26"/>
      <c r="D32" s="26"/>
    </row>
    <row r="33" spans="2:4" ht="26.1" customHeight="1">
      <c r="B33" s="26" t="s">
        <v>34</v>
      </c>
      <c r="C33" s="26"/>
      <c r="D33" s="26"/>
    </row>
    <row r="34" spans="2:4" ht="26.1" customHeight="1">
      <c r="B34" s="26" t="s">
        <v>35</v>
      </c>
      <c r="C34" s="26"/>
      <c r="D34" s="26"/>
    </row>
  </sheetData>
  <mergeCells count="20">
    <mergeCell ref="B30:D30"/>
    <mergeCell ref="B31:D31"/>
    <mergeCell ref="B32:D32"/>
    <mergeCell ref="B33:D33"/>
    <mergeCell ref="B34:D34"/>
    <mergeCell ref="C20:D20"/>
    <mergeCell ref="C21:D21"/>
    <mergeCell ref="B23:D23"/>
    <mergeCell ref="B28:D28"/>
    <mergeCell ref="B29:D29"/>
    <mergeCell ref="C14:D14"/>
    <mergeCell ref="C15:D15"/>
    <mergeCell ref="C16:D16"/>
    <mergeCell ref="C17:D17"/>
    <mergeCell ref="B19:D19"/>
    <mergeCell ref="B9:D9"/>
    <mergeCell ref="C10:D10"/>
    <mergeCell ref="C11:D11"/>
    <mergeCell ref="C12:D12"/>
    <mergeCell ref="C13:D1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5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1" t="s">
        <v>36</v>
      </c>
    </row>
    <row r="2" spans="1:10">
      <c r="A2" s="2" t="s">
        <v>37</v>
      </c>
    </row>
    <row r="4" spans="1:10" ht="30" customHeight="1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</row>
    <row r="5" spans="1:10" ht="20.100000000000001" customHeight="1">
      <c r="A5" s="27" t="s">
        <v>48</v>
      </c>
      <c r="B5" s="27"/>
      <c r="C5" s="27"/>
      <c r="D5" s="27"/>
      <c r="E5" s="27"/>
      <c r="F5" s="27"/>
      <c r="G5" s="27"/>
      <c r="H5" s="27"/>
      <c r="I5" s="27"/>
      <c r="J5" s="27"/>
    </row>
    <row r="6" spans="1:10">
      <c r="A6" s="28" t="s">
        <v>49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15.6" customHeight="1">
      <c r="A7" s="12">
        <v>1</v>
      </c>
      <c r="B7" s="7" t="s">
        <v>15</v>
      </c>
      <c r="C7" s="12" t="s">
        <v>50</v>
      </c>
      <c r="D7" s="8" t="s">
        <v>51</v>
      </c>
      <c r="E7" s="13" t="s">
        <v>52</v>
      </c>
      <c r="F7" s="14" t="b">
        <v>0</v>
      </c>
      <c r="G7" s="14" t="b">
        <v>0</v>
      </c>
      <c r="H7" s="14" t="b">
        <v>0</v>
      </c>
      <c r="I7" s="15" t="str">
        <f>IF(COUNTIF(F7:H7,TRUE)=0,"offen",IF(COUNTIF(F7:H7,TRUE)&gt;1,"mehrfach!",IF(G7=TRUE,"n. i. O.","erledigt")))</f>
        <v>offen</v>
      </c>
      <c r="J7" s="8"/>
    </row>
    <row r="8" spans="1:10" ht="15.6" customHeight="1">
      <c r="A8" s="12">
        <v>2</v>
      </c>
      <c r="B8" s="7" t="s">
        <v>15</v>
      </c>
      <c r="C8" s="12" t="s">
        <v>53</v>
      </c>
      <c r="D8" s="8" t="s">
        <v>54</v>
      </c>
      <c r="E8" s="13" t="s">
        <v>52</v>
      </c>
      <c r="F8" s="14" t="b">
        <v>0</v>
      </c>
      <c r="G8" s="14" t="b">
        <v>0</v>
      </c>
      <c r="H8" s="14" t="b">
        <v>0</v>
      </c>
      <c r="I8" s="15" t="str">
        <f>IF(COUNTIF(F8:H8,TRUE)=0,"offen",IF(COUNTIF(F8:H8,TRUE)&gt;1,"mehrfach!",IF(G8=TRUE,"n. i. O.","erledigt")))</f>
        <v>offen</v>
      </c>
      <c r="J8" s="8"/>
    </row>
    <row r="9" spans="1:10" ht="27.95" customHeight="1">
      <c r="A9" s="12">
        <v>3</v>
      </c>
      <c r="B9" s="7" t="s">
        <v>15</v>
      </c>
      <c r="C9" s="12" t="s">
        <v>55</v>
      </c>
      <c r="D9" s="8" t="s">
        <v>56</v>
      </c>
      <c r="E9" s="8"/>
      <c r="F9" s="14" t="b">
        <v>0</v>
      </c>
      <c r="G9" s="14" t="b">
        <v>0</v>
      </c>
      <c r="H9" s="14" t="b">
        <v>0</v>
      </c>
      <c r="I9" s="15" t="str">
        <f>IF(COUNTIF(F9:H9,TRUE)=0,"offen",IF(COUNTIF(F9:H9,TRUE)&gt;1,"mehrfach!",IF(G9=TRUE,"n. i. O.","erledigt")))</f>
        <v>offen</v>
      </c>
      <c r="J9" s="8"/>
    </row>
    <row r="10" spans="1:10" ht="27.95" customHeight="1">
      <c r="A10" s="12">
        <v>4</v>
      </c>
      <c r="B10" s="7" t="s">
        <v>15</v>
      </c>
      <c r="C10" s="12" t="s">
        <v>57</v>
      </c>
      <c r="D10" s="8" t="s">
        <v>58</v>
      </c>
      <c r="E10" s="8"/>
      <c r="F10" s="14" t="b">
        <v>0</v>
      </c>
      <c r="G10" s="14" t="b">
        <v>0</v>
      </c>
      <c r="H10" s="14" t="b">
        <v>0</v>
      </c>
      <c r="I10" s="15" t="str">
        <f>IF(COUNTIF(F10:H10,TRUE)=0,"offen",IF(COUNTIF(F10:H10,TRUE)&gt;1,"mehrfach!",IF(G10=TRUE,"n. i. O.","erledigt")))</f>
        <v>offen</v>
      </c>
      <c r="J10" s="8"/>
    </row>
    <row r="11" spans="1:10" ht="15.6" customHeight="1">
      <c r="A11" s="12">
        <v>5</v>
      </c>
      <c r="B11" s="7" t="s">
        <v>15</v>
      </c>
      <c r="C11" s="12" t="s">
        <v>59</v>
      </c>
      <c r="D11" s="8" t="s">
        <v>60</v>
      </c>
      <c r="E11" s="8"/>
      <c r="F11" s="14" t="b">
        <v>0</v>
      </c>
      <c r="G11" s="14" t="b">
        <v>0</v>
      </c>
      <c r="H11" s="14" t="b">
        <v>0</v>
      </c>
      <c r="I11" s="15" t="str">
        <f>IF(COUNTIF(F11:H11,TRUE)=0,"offen",IF(COUNTIF(F11:H11,TRUE)&gt;1,"mehrfach!",IF(G11=TRUE,"n. i. O.","erledigt")))</f>
        <v>offen</v>
      </c>
      <c r="J11" s="8"/>
    </row>
    <row r="12" spans="1:10" ht="27.95" customHeight="1">
      <c r="A12" s="12">
        <v>6</v>
      </c>
      <c r="B12" s="7" t="s">
        <v>15</v>
      </c>
      <c r="C12" s="12" t="s">
        <v>61</v>
      </c>
      <c r="D12" s="8" t="s">
        <v>62</v>
      </c>
      <c r="E12" s="13" t="s">
        <v>63</v>
      </c>
      <c r="F12" s="14" t="b">
        <v>0</v>
      </c>
      <c r="G12" s="14" t="b">
        <v>0</v>
      </c>
      <c r="H12" s="14" t="b">
        <v>0</v>
      </c>
      <c r="I12" s="15" t="str">
        <f>IF(COUNTIF(F12:H12,TRUE)=0,"offen",IF(COUNTIF(F12:H12,TRUE)&gt;1,"mehrfach!",IF(G12=TRUE,"n. i. O.","erledigt")))</f>
        <v>offen</v>
      </c>
      <c r="J12" s="8"/>
    </row>
    <row r="13" spans="1:10" ht="15.6" customHeight="1">
      <c r="A13" s="12">
        <v>7</v>
      </c>
      <c r="B13" s="7" t="s">
        <v>15</v>
      </c>
      <c r="C13" s="12" t="s">
        <v>64</v>
      </c>
      <c r="D13" s="8" t="s">
        <v>65</v>
      </c>
      <c r="E13" s="13" t="s">
        <v>63</v>
      </c>
      <c r="F13" s="14" t="b">
        <v>0</v>
      </c>
      <c r="G13" s="14" t="b">
        <v>0</v>
      </c>
      <c r="H13" s="14" t="b">
        <v>0</v>
      </c>
      <c r="I13" s="15" t="str">
        <f>IF(COUNTIF(F13:H13,TRUE)=0,"offen",IF(COUNTIF(F13:H13,TRUE)&gt;1,"mehrfach!",IF(G13=TRUE,"n. i. O.","erledigt")))</f>
        <v>offen</v>
      </c>
      <c r="J13" s="8"/>
    </row>
    <row r="14" spans="1:10" ht="27.95" customHeight="1">
      <c r="A14" s="12">
        <v>8</v>
      </c>
      <c r="B14" s="7" t="s">
        <v>15</v>
      </c>
      <c r="C14" s="12" t="s">
        <v>66</v>
      </c>
      <c r="D14" s="8" t="s">
        <v>67</v>
      </c>
      <c r="E14" s="13" t="s">
        <v>63</v>
      </c>
      <c r="F14" s="14" t="b">
        <v>0</v>
      </c>
      <c r="G14" s="14" t="b">
        <v>0</v>
      </c>
      <c r="H14" s="14" t="b">
        <v>0</v>
      </c>
      <c r="I14" s="15" t="str">
        <f>IF(COUNTIF(F14:H14,TRUE)=0,"offen",IF(COUNTIF(F14:H14,TRUE)&gt;1,"mehrfach!",IF(G14=TRUE,"n. i. O.","erledigt")))</f>
        <v>offen</v>
      </c>
      <c r="J14" s="8"/>
    </row>
    <row r="15" spans="1:10">
      <c r="A15" s="29" t="s">
        <v>68</v>
      </c>
      <c r="B15" s="29"/>
      <c r="C15" s="29"/>
      <c r="D15" s="29"/>
      <c r="E15" s="29"/>
      <c r="F15" s="29"/>
      <c r="G15" s="29"/>
      <c r="H15" s="29"/>
      <c r="I15" s="29"/>
      <c r="J15" s="29"/>
    </row>
    <row r="16" spans="1:10" ht="40.5" customHeight="1">
      <c r="A16" s="16">
        <v>9</v>
      </c>
      <c r="B16" s="9" t="s">
        <v>17</v>
      </c>
      <c r="C16" s="16" t="s">
        <v>69</v>
      </c>
      <c r="D16" s="10" t="s">
        <v>70</v>
      </c>
      <c r="E16" s="17" t="s">
        <v>71</v>
      </c>
      <c r="F16" s="18" t="b">
        <v>0</v>
      </c>
      <c r="G16" s="18" t="b">
        <v>0</v>
      </c>
      <c r="H16" s="18" t="b">
        <v>0</v>
      </c>
      <c r="I16" s="19" t="str">
        <f>IF(COUNTIF(F16:H16,TRUE)=0,"offen",IF(COUNTIF(F16:H16,TRUE)&gt;1,"mehrfach!",IF(G16=TRUE,"n. i. O.","erledigt")))</f>
        <v>offen</v>
      </c>
      <c r="J16" s="10"/>
    </row>
    <row r="17" spans="1:10" ht="27.95" customHeight="1">
      <c r="A17" s="16">
        <v>10</v>
      </c>
      <c r="B17" s="9" t="s">
        <v>17</v>
      </c>
      <c r="C17" s="16" t="s">
        <v>72</v>
      </c>
      <c r="D17" s="10" t="s">
        <v>73</v>
      </c>
      <c r="E17" s="17" t="s">
        <v>74</v>
      </c>
      <c r="F17" s="18" t="b">
        <v>0</v>
      </c>
      <c r="G17" s="18" t="b">
        <v>0</v>
      </c>
      <c r="H17" s="18" t="b">
        <v>0</v>
      </c>
      <c r="I17" s="19" t="str">
        <f>IF(COUNTIF(F17:H17,TRUE)=0,"offen",IF(COUNTIF(F17:H17,TRUE)&gt;1,"mehrfach!",IF(G17=TRUE,"n. i. O.","erledigt")))</f>
        <v>offen</v>
      </c>
      <c r="J17" s="10"/>
    </row>
    <row r="18" spans="1:10" ht="27.95" customHeight="1">
      <c r="A18" s="16">
        <v>11</v>
      </c>
      <c r="B18" s="9" t="s">
        <v>17</v>
      </c>
      <c r="C18" s="16" t="s">
        <v>75</v>
      </c>
      <c r="D18" s="10" t="s">
        <v>76</v>
      </c>
      <c r="E18" s="17" t="s">
        <v>77</v>
      </c>
      <c r="F18" s="18" t="b">
        <v>0</v>
      </c>
      <c r="G18" s="18" t="b">
        <v>0</v>
      </c>
      <c r="H18" s="18" t="b">
        <v>0</v>
      </c>
      <c r="I18" s="19" t="str">
        <f>IF(COUNTIF(F18:H18,TRUE)=0,"offen",IF(COUNTIF(F18:H18,TRUE)&gt;1,"mehrfach!",IF(G18=TRUE,"n. i. O.","erledigt")))</f>
        <v>offen</v>
      </c>
      <c r="J18" s="10"/>
    </row>
    <row r="19" spans="1:10">
      <c r="A19" s="29" t="s">
        <v>78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27.95" customHeight="1">
      <c r="A20" s="16">
        <v>12</v>
      </c>
      <c r="B20" s="9" t="s">
        <v>17</v>
      </c>
      <c r="C20" s="16" t="s">
        <v>79</v>
      </c>
      <c r="D20" s="10" t="s">
        <v>80</v>
      </c>
      <c r="E20" s="17" t="s">
        <v>81</v>
      </c>
      <c r="F20" s="18" t="b">
        <v>0</v>
      </c>
      <c r="G20" s="18" t="b">
        <v>0</v>
      </c>
      <c r="H20" s="18" t="b">
        <v>0</v>
      </c>
      <c r="I20" s="19" t="str">
        <f>IF(COUNTIF(F20:H20,TRUE)=0,"offen",IF(COUNTIF(F20:H20,TRUE)&gt;1,"mehrfach!",IF(G20=TRUE,"n. i. O.","erledigt")))</f>
        <v>offen</v>
      </c>
      <c r="J20" s="10"/>
    </row>
    <row r="21" spans="1:10" ht="20.100000000000001" customHeight="1">
      <c r="A21" s="27" t="s">
        <v>82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0">
      <c r="A22" s="28" t="s">
        <v>83</v>
      </c>
      <c r="B22" s="28"/>
      <c r="C22" s="28"/>
      <c r="D22" s="28"/>
      <c r="E22" s="28"/>
      <c r="F22" s="28"/>
      <c r="G22" s="28"/>
      <c r="H22" s="28"/>
      <c r="I22" s="28"/>
      <c r="J22" s="28"/>
    </row>
    <row r="23" spans="1:10" ht="15.6" customHeight="1">
      <c r="A23" s="12">
        <v>13</v>
      </c>
      <c r="B23" s="7" t="s">
        <v>15</v>
      </c>
      <c r="C23" s="12" t="s">
        <v>84</v>
      </c>
      <c r="D23" s="8" t="s">
        <v>85</v>
      </c>
      <c r="E23" s="13" t="s">
        <v>86</v>
      </c>
      <c r="F23" s="14" t="b">
        <v>0</v>
      </c>
      <c r="G23" s="14" t="b">
        <v>0</v>
      </c>
      <c r="H23" s="14" t="b">
        <v>0</v>
      </c>
      <c r="I23" s="15" t="str">
        <f>IF(COUNTIF(F23:H23,TRUE)=0,"offen",IF(COUNTIF(F23:H23,TRUE)&gt;1,"mehrfach!",IF(G23=TRUE,"n. i. O.","erledigt")))</f>
        <v>offen</v>
      </c>
      <c r="J23" s="8"/>
    </row>
    <row r="24" spans="1:10" ht="15.6" customHeight="1">
      <c r="A24" s="12">
        <v>14</v>
      </c>
      <c r="B24" s="7" t="s">
        <v>15</v>
      </c>
      <c r="C24" s="12" t="s">
        <v>87</v>
      </c>
      <c r="D24" s="8" t="s">
        <v>88</v>
      </c>
      <c r="E24" s="13" t="s">
        <v>89</v>
      </c>
      <c r="F24" s="14" t="b">
        <v>0</v>
      </c>
      <c r="G24" s="14" t="b">
        <v>0</v>
      </c>
      <c r="H24" s="14" t="b">
        <v>0</v>
      </c>
      <c r="I24" s="15" t="str">
        <f>IF(COUNTIF(F24:H24,TRUE)=0,"offen",IF(COUNTIF(F24:H24,TRUE)&gt;1,"mehrfach!",IF(G24=TRUE,"n. i. O.","erledigt")))</f>
        <v>offen</v>
      </c>
      <c r="J24" s="8"/>
    </row>
    <row r="25" spans="1:10" ht="15.6" customHeight="1">
      <c r="A25" s="12">
        <v>15</v>
      </c>
      <c r="B25" s="7" t="s">
        <v>15</v>
      </c>
      <c r="C25" s="12" t="s">
        <v>90</v>
      </c>
      <c r="D25" s="8" t="s">
        <v>91</v>
      </c>
      <c r="E25" s="13" t="s">
        <v>92</v>
      </c>
      <c r="F25" s="14" t="b">
        <v>0</v>
      </c>
      <c r="G25" s="14" t="b">
        <v>0</v>
      </c>
      <c r="H25" s="14" t="b">
        <v>0</v>
      </c>
      <c r="I25" s="15" t="str">
        <f>IF(COUNTIF(F25:H25,TRUE)=0,"offen",IF(COUNTIF(F25:H25,TRUE)&gt;1,"mehrfach!",IF(G25=TRUE,"n. i. O.","erledigt")))</f>
        <v>offen</v>
      </c>
      <c r="J25" s="8"/>
    </row>
    <row r="26" spans="1:10" ht="27.95" customHeight="1">
      <c r="A26" s="12">
        <v>16</v>
      </c>
      <c r="B26" s="7" t="s">
        <v>15</v>
      </c>
      <c r="C26" s="12" t="s">
        <v>93</v>
      </c>
      <c r="D26" s="8" t="s">
        <v>94</v>
      </c>
      <c r="E26" s="8"/>
      <c r="F26" s="14" t="b">
        <v>0</v>
      </c>
      <c r="G26" s="14" t="b">
        <v>0</v>
      </c>
      <c r="H26" s="14" t="b">
        <v>0</v>
      </c>
      <c r="I26" s="15" t="str">
        <f>IF(COUNTIF(F26:H26,TRUE)=0,"offen",IF(COUNTIF(F26:H26,TRUE)&gt;1,"mehrfach!",IF(G26=TRUE,"n. i. O.","erledigt")))</f>
        <v>offen</v>
      </c>
      <c r="J26" s="8"/>
    </row>
    <row r="27" spans="1:10" ht="27.95" customHeight="1">
      <c r="A27" s="12">
        <v>17</v>
      </c>
      <c r="B27" s="7" t="s">
        <v>15</v>
      </c>
      <c r="C27" s="12" t="s">
        <v>95</v>
      </c>
      <c r="D27" s="8" t="s">
        <v>96</v>
      </c>
      <c r="E27" s="8"/>
      <c r="F27" s="14" t="b">
        <v>0</v>
      </c>
      <c r="G27" s="14" t="b">
        <v>0</v>
      </c>
      <c r="H27" s="14" t="b">
        <v>0</v>
      </c>
      <c r="I27" s="15" t="str">
        <f>IF(COUNTIF(F27:H27,TRUE)=0,"offen",IF(COUNTIF(F27:H27,TRUE)&gt;1,"mehrfach!",IF(G27=TRUE,"n. i. O.","erledigt")))</f>
        <v>offen</v>
      </c>
      <c r="J27" s="8"/>
    </row>
    <row r="28" spans="1:10">
      <c r="A28" s="29" t="s">
        <v>97</v>
      </c>
      <c r="B28" s="29"/>
      <c r="C28" s="29"/>
      <c r="D28" s="29"/>
      <c r="E28" s="29"/>
      <c r="F28" s="29"/>
      <c r="G28" s="29"/>
      <c r="H28" s="29"/>
      <c r="I28" s="29"/>
      <c r="J28" s="29"/>
    </row>
    <row r="29" spans="1:10" ht="40.5" customHeight="1">
      <c r="A29" s="16">
        <v>18</v>
      </c>
      <c r="B29" s="9" t="s">
        <v>17</v>
      </c>
      <c r="C29" s="16" t="s">
        <v>98</v>
      </c>
      <c r="D29" s="10" t="s">
        <v>99</v>
      </c>
      <c r="E29" s="17" t="s">
        <v>100</v>
      </c>
      <c r="F29" s="18" t="b">
        <v>0</v>
      </c>
      <c r="G29" s="18" t="b">
        <v>0</v>
      </c>
      <c r="H29" s="18" t="b">
        <v>0</v>
      </c>
      <c r="I29" s="19" t="str">
        <f>IF(COUNTIF(F29:H29,TRUE)=0,"offen",IF(COUNTIF(F29:H29,TRUE)&gt;1,"mehrfach!",IF(G29=TRUE,"n. i. O.","erledigt")))</f>
        <v>offen</v>
      </c>
      <c r="J29" s="10"/>
    </row>
    <row r="30" spans="1:10" ht="40.5" customHeight="1">
      <c r="A30" s="16">
        <v>19</v>
      </c>
      <c r="B30" s="9" t="s">
        <v>17</v>
      </c>
      <c r="C30" s="16" t="s">
        <v>101</v>
      </c>
      <c r="D30" s="10" t="s">
        <v>102</v>
      </c>
      <c r="E30" s="17" t="s">
        <v>100</v>
      </c>
      <c r="F30" s="18" t="b">
        <v>0</v>
      </c>
      <c r="G30" s="18" t="b">
        <v>0</v>
      </c>
      <c r="H30" s="18" t="b">
        <v>0</v>
      </c>
      <c r="I30" s="19" t="str">
        <f>IF(COUNTIF(F30:H30,TRUE)=0,"offen",IF(COUNTIF(F30:H30,TRUE)&gt;1,"mehrfach!",IF(G30=TRUE,"n. i. O.","erledigt")))</f>
        <v>offen</v>
      </c>
      <c r="J30" s="10"/>
    </row>
    <row r="31" spans="1:10" ht="27.95" customHeight="1">
      <c r="A31" s="16">
        <v>20</v>
      </c>
      <c r="B31" s="9" t="s">
        <v>17</v>
      </c>
      <c r="C31" s="16" t="s">
        <v>103</v>
      </c>
      <c r="D31" s="10" t="s">
        <v>104</v>
      </c>
      <c r="E31" s="17" t="s">
        <v>105</v>
      </c>
      <c r="F31" s="18" t="b">
        <v>0</v>
      </c>
      <c r="G31" s="18" t="b">
        <v>0</v>
      </c>
      <c r="H31" s="18" t="b">
        <v>0</v>
      </c>
      <c r="I31" s="19" t="str">
        <f>IF(COUNTIF(F31:H31,TRUE)=0,"offen",IF(COUNTIF(F31:H31,TRUE)&gt;1,"mehrfach!",IF(G31=TRUE,"n. i. O.","erledigt")))</f>
        <v>offen</v>
      </c>
      <c r="J31" s="10"/>
    </row>
    <row r="32" spans="1:10">
      <c r="A32" s="29" t="s">
        <v>106</v>
      </c>
      <c r="B32" s="29"/>
      <c r="C32" s="29"/>
      <c r="D32" s="29"/>
      <c r="E32" s="29"/>
      <c r="F32" s="29"/>
      <c r="G32" s="29"/>
      <c r="H32" s="29"/>
      <c r="I32" s="29"/>
      <c r="J32" s="29"/>
    </row>
    <row r="33" spans="1:10" ht="27.95" customHeight="1">
      <c r="A33" s="16">
        <v>21</v>
      </c>
      <c r="B33" s="9" t="s">
        <v>17</v>
      </c>
      <c r="C33" s="16" t="s">
        <v>107</v>
      </c>
      <c r="D33" s="10" t="s">
        <v>108</v>
      </c>
      <c r="E33" s="17" t="s">
        <v>109</v>
      </c>
      <c r="F33" s="18" t="b">
        <v>0</v>
      </c>
      <c r="G33" s="18" t="b">
        <v>0</v>
      </c>
      <c r="H33" s="18" t="b">
        <v>0</v>
      </c>
      <c r="I33" s="19" t="str">
        <f>IF(COUNTIF(F33:H33,TRUE)=0,"offen",IF(COUNTIF(F33:H33,TRUE)&gt;1,"mehrfach!",IF(G33=TRUE,"n. i. O.","erledigt")))</f>
        <v>offen</v>
      </c>
      <c r="J33" s="10"/>
    </row>
    <row r="34" spans="1:10" ht="27.95" customHeight="1">
      <c r="A34" s="16">
        <v>22</v>
      </c>
      <c r="B34" s="9" t="s">
        <v>17</v>
      </c>
      <c r="C34" s="16" t="s">
        <v>110</v>
      </c>
      <c r="D34" s="10" t="s">
        <v>111</v>
      </c>
      <c r="E34" s="17" t="s">
        <v>109</v>
      </c>
      <c r="F34" s="18" t="b">
        <v>0</v>
      </c>
      <c r="G34" s="18" t="b">
        <v>0</v>
      </c>
      <c r="H34" s="18" t="b">
        <v>0</v>
      </c>
      <c r="I34" s="19" t="str">
        <f>IF(COUNTIF(F34:H34,TRUE)=0,"offen",IF(COUNTIF(F34:H34,TRUE)&gt;1,"mehrfach!",IF(G34=TRUE,"n. i. O.","erledigt")))</f>
        <v>offen</v>
      </c>
      <c r="J34" s="10"/>
    </row>
    <row r="35" spans="1:10" ht="27.95" customHeight="1">
      <c r="A35" s="16">
        <v>23</v>
      </c>
      <c r="B35" s="9" t="s">
        <v>17</v>
      </c>
      <c r="C35" s="16" t="s">
        <v>112</v>
      </c>
      <c r="D35" s="10" t="s">
        <v>113</v>
      </c>
      <c r="E35" s="17" t="s">
        <v>109</v>
      </c>
      <c r="F35" s="18" t="b">
        <v>0</v>
      </c>
      <c r="G35" s="18" t="b">
        <v>0</v>
      </c>
      <c r="H35" s="18" t="b">
        <v>0</v>
      </c>
      <c r="I35" s="19" t="str">
        <f>IF(COUNTIF(F35:H35,TRUE)=0,"offen",IF(COUNTIF(F35:H35,TRUE)&gt;1,"mehrfach!",IF(G35=TRUE,"n. i. O.","erledigt")))</f>
        <v>offen</v>
      </c>
      <c r="J35" s="10"/>
    </row>
    <row r="36" spans="1:10" ht="27.95" customHeight="1">
      <c r="A36" s="16">
        <v>24</v>
      </c>
      <c r="B36" s="9" t="s">
        <v>17</v>
      </c>
      <c r="C36" s="16" t="s">
        <v>114</v>
      </c>
      <c r="D36" s="10" t="s">
        <v>115</v>
      </c>
      <c r="E36" s="17" t="s">
        <v>109</v>
      </c>
      <c r="F36" s="18" t="b">
        <v>0</v>
      </c>
      <c r="G36" s="18" t="b">
        <v>0</v>
      </c>
      <c r="H36" s="18" t="b">
        <v>0</v>
      </c>
      <c r="I36" s="19" t="str">
        <f>IF(COUNTIF(F36:H36,TRUE)=0,"offen",IF(COUNTIF(F36:H36,TRUE)&gt;1,"mehrfach!",IF(G36=TRUE,"n. i. O.","erledigt")))</f>
        <v>offen</v>
      </c>
      <c r="J36" s="10"/>
    </row>
    <row r="37" spans="1:10" ht="20.100000000000001" customHeight="1">
      <c r="A37" s="27" t="s">
        <v>116</v>
      </c>
      <c r="B37" s="27"/>
      <c r="C37" s="27"/>
      <c r="D37" s="27"/>
      <c r="E37" s="27"/>
      <c r="F37" s="27"/>
      <c r="G37" s="27"/>
      <c r="H37" s="27"/>
      <c r="I37" s="27"/>
      <c r="J37" s="27"/>
    </row>
    <row r="38" spans="1:10">
      <c r="A38" s="28" t="s">
        <v>117</v>
      </c>
      <c r="B38" s="28"/>
      <c r="C38" s="28"/>
      <c r="D38" s="28"/>
      <c r="E38" s="28"/>
      <c r="F38" s="28"/>
      <c r="G38" s="28"/>
      <c r="H38" s="28"/>
      <c r="I38" s="28"/>
      <c r="J38" s="28"/>
    </row>
    <row r="39" spans="1:10" ht="15.6" customHeight="1">
      <c r="A39" s="12">
        <v>25</v>
      </c>
      <c r="B39" s="7" t="s">
        <v>15</v>
      </c>
      <c r="C39" s="12" t="s">
        <v>118</v>
      </c>
      <c r="D39" s="8" t="s">
        <v>119</v>
      </c>
      <c r="E39" s="8"/>
      <c r="F39" s="14" t="b">
        <v>0</v>
      </c>
      <c r="G39" s="14" t="b">
        <v>0</v>
      </c>
      <c r="H39" s="14" t="b">
        <v>0</v>
      </c>
      <c r="I39" s="15" t="str">
        <f>IF(COUNTIF(F39:H39,TRUE)=0,"offen",IF(COUNTIF(F39:H39,TRUE)&gt;1,"mehrfach!",IF(G39=TRUE,"n. i. O.","erledigt")))</f>
        <v>offen</v>
      </c>
      <c r="J39" s="8"/>
    </row>
    <row r="40" spans="1:10" ht="15.6" customHeight="1">
      <c r="A40" s="12">
        <v>26</v>
      </c>
      <c r="B40" s="7" t="s">
        <v>15</v>
      </c>
      <c r="C40" s="12" t="s">
        <v>120</v>
      </c>
      <c r="D40" s="8" t="s">
        <v>121</v>
      </c>
      <c r="E40" s="8"/>
      <c r="F40" s="14" t="b">
        <v>0</v>
      </c>
      <c r="G40" s="14" t="b">
        <v>0</v>
      </c>
      <c r="H40" s="14" t="b">
        <v>0</v>
      </c>
      <c r="I40" s="15" t="str">
        <f>IF(COUNTIF(F40:H40,TRUE)=0,"offen",IF(COUNTIF(F40:H40,TRUE)&gt;1,"mehrfach!",IF(G40=TRUE,"n. i. O.","erledigt")))</f>
        <v>offen</v>
      </c>
      <c r="J40" s="8"/>
    </row>
    <row r="41" spans="1:10" ht="15.6" customHeight="1">
      <c r="A41" s="12">
        <v>27</v>
      </c>
      <c r="B41" s="7" t="s">
        <v>15</v>
      </c>
      <c r="C41" s="12" t="s">
        <v>122</v>
      </c>
      <c r="D41" s="8" t="s">
        <v>123</v>
      </c>
      <c r="E41" s="8"/>
      <c r="F41" s="14" t="b">
        <v>0</v>
      </c>
      <c r="G41" s="14" t="b">
        <v>0</v>
      </c>
      <c r="H41" s="14" t="b">
        <v>0</v>
      </c>
      <c r="I41" s="15" t="str">
        <f>IF(COUNTIF(F41:H41,TRUE)=0,"offen",IF(COUNTIF(F41:H41,TRUE)&gt;1,"mehrfach!",IF(G41=TRUE,"n. i. O.","erledigt")))</f>
        <v>offen</v>
      </c>
      <c r="J41" s="8"/>
    </row>
    <row r="42" spans="1:10" ht="15.6" customHeight="1">
      <c r="A42" s="12">
        <v>28</v>
      </c>
      <c r="B42" s="7" t="s">
        <v>15</v>
      </c>
      <c r="C42" s="12" t="s">
        <v>124</v>
      </c>
      <c r="D42" s="8" t="s">
        <v>125</v>
      </c>
      <c r="E42" s="8"/>
      <c r="F42" s="14" t="b">
        <v>0</v>
      </c>
      <c r="G42" s="14" t="b">
        <v>0</v>
      </c>
      <c r="H42" s="14" t="b">
        <v>0</v>
      </c>
      <c r="I42" s="15" t="str">
        <f>IF(COUNTIF(F42:H42,TRUE)=0,"offen",IF(COUNTIF(F42:H42,TRUE)&gt;1,"mehrfach!",IF(G42=TRUE,"n. i. O.","erledigt")))</f>
        <v>offen</v>
      </c>
      <c r="J42" s="8"/>
    </row>
    <row r="43" spans="1:10" ht="27.95" customHeight="1">
      <c r="A43" s="12">
        <v>29</v>
      </c>
      <c r="B43" s="7" t="s">
        <v>15</v>
      </c>
      <c r="C43" s="12" t="s">
        <v>126</v>
      </c>
      <c r="D43" s="8" t="s">
        <v>127</v>
      </c>
      <c r="E43" s="8"/>
      <c r="F43" s="14" t="b">
        <v>0</v>
      </c>
      <c r="G43" s="14" t="b">
        <v>0</v>
      </c>
      <c r="H43" s="14" t="b">
        <v>0</v>
      </c>
      <c r="I43" s="15" t="str">
        <f>IF(COUNTIF(F43:H43,TRUE)=0,"offen",IF(COUNTIF(F43:H43,TRUE)&gt;1,"mehrfach!",IF(G43=TRUE,"n. i. O.","erledigt")))</f>
        <v>offen</v>
      </c>
      <c r="J43" s="8"/>
    </row>
    <row r="44" spans="1:10" ht="27.95" customHeight="1">
      <c r="A44" s="12">
        <v>30</v>
      </c>
      <c r="B44" s="7" t="s">
        <v>15</v>
      </c>
      <c r="C44" s="12" t="s">
        <v>128</v>
      </c>
      <c r="D44" s="8" t="s">
        <v>129</v>
      </c>
      <c r="E44" s="8"/>
      <c r="F44" s="14" t="b">
        <v>0</v>
      </c>
      <c r="G44" s="14" t="b">
        <v>0</v>
      </c>
      <c r="H44" s="14" t="b">
        <v>0</v>
      </c>
      <c r="I44" s="15" t="str">
        <f>IF(COUNTIF(F44:H44,TRUE)=0,"offen",IF(COUNTIF(F44:H44,TRUE)&gt;1,"mehrfach!",IF(G44=TRUE,"n. i. O.","erledigt")))</f>
        <v>offen</v>
      </c>
      <c r="J44" s="8"/>
    </row>
    <row r="45" spans="1:10" ht="20.100000000000001" customHeight="1">
      <c r="A45" s="27" t="s">
        <v>130</v>
      </c>
      <c r="B45" s="27"/>
      <c r="C45" s="27"/>
      <c r="D45" s="27"/>
      <c r="E45" s="27"/>
      <c r="F45" s="27"/>
      <c r="G45" s="27"/>
      <c r="H45" s="27"/>
      <c r="I45" s="27"/>
      <c r="J45" s="27"/>
    </row>
    <row r="46" spans="1:10">
      <c r="A46" s="28" t="s">
        <v>131</v>
      </c>
      <c r="B46" s="28"/>
      <c r="C46" s="28"/>
      <c r="D46" s="28"/>
      <c r="E46" s="28"/>
      <c r="F46" s="28"/>
      <c r="G46" s="28"/>
      <c r="H46" s="28"/>
      <c r="I46" s="28"/>
      <c r="J46" s="28"/>
    </row>
    <row r="47" spans="1:10" ht="27.95" customHeight="1">
      <c r="A47" s="12">
        <v>31</v>
      </c>
      <c r="B47" s="7" t="s">
        <v>15</v>
      </c>
      <c r="C47" s="12" t="s">
        <v>132</v>
      </c>
      <c r="D47" s="8" t="s">
        <v>133</v>
      </c>
      <c r="E47" s="8"/>
      <c r="F47" s="14" t="b">
        <v>0</v>
      </c>
      <c r="G47" s="14" t="b">
        <v>0</v>
      </c>
      <c r="H47" s="14" t="b">
        <v>0</v>
      </c>
      <c r="I47" s="15" t="str">
        <f>IF(COUNTIF(F47:H47,TRUE)=0,"offen",IF(COUNTIF(F47:H47,TRUE)&gt;1,"mehrfach!",IF(G47=TRUE,"n. i. O.","erledigt")))</f>
        <v>offen</v>
      </c>
      <c r="J47" s="8"/>
    </row>
    <row r="48" spans="1:10" ht="27.95" customHeight="1">
      <c r="A48" s="12">
        <v>32</v>
      </c>
      <c r="B48" s="7" t="s">
        <v>15</v>
      </c>
      <c r="C48" s="12" t="s">
        <v>134</v>
      </c>
      <c r="D48" s="8" t="s">
        <v>135</v>
      </c>
      <c r="E48" s="8"/>
      <c r="F48" s="14" t="b">
        <v>0</v>
      </c>
      <c r="G48" s="14" t="b">
        <v>0</v>
      </c>
      <c r="H48" s="14" t="b">
        <v>0</v>
      </c>
      <c r="I48" s="15" t="str">
        <f>IF(COUNTIF(F48:H48,TRUE)=0,"offen",IF(COUNTIF(F48:H48,TRUE)&gt;1,"mehrfach!",IF(G48=TRUE,"n. i. O.","erledigt")))</f>
        <v>offen</v>
      </c>
      <c r="J48" s="8"/>
    </row>
    <row r="49" spans="1:10" ht="27.95" customHeight="1">
      <c r="A49" s="12">
        <v>33</v>
      </c>
      <c r="B49" s="7" t="s">
        <v>15</v>
      </c>
      <c r="C49" s="12" t="s">
        <v>136</v>
      </c>
      <c r="D49" s="8" t="s">
        <v>137</v>
      </c>
      <c r="E49" s="8"/>
      <c r="F49" s="14" t="b">
        <v>0</v>
      </c>
      <c r="G49" s="14" t="b">
        <v>0</v>
      </c>
      <c r="H49" s="14" t="b">
        <v>0</v>
      </c>
      <c r="I49" s="15" t="str">
        <f>IF(COUNTIF(F49:H49,TRUE)=0,"offen",IF(COUNTIF(F49:H49,TRUE)&gt;1,"mehrfach!",IF(G49=TRUE,"n. i. O.","erledigt")))</f>
        <v>offen</v>
      </c>
      <c r="J49" s="8"/>
    </row>
    <row r="50" spans="1:10" ht="27.95" customHeight="1">
      <c r="A50" s="12">
        <v>34</v>
      </c>
      <c r="B50" s="7" t="s">
        <v>15</v>
      </c>
      <c r="C50" s="12" t="s">
        <v>138</v>
      </c>
      <c r="D50" s="8" t="s">
        <v>139</v>
      </c>
      <c r="E50" s="8"/>
      <c r="F50" s="14" t="b">
        <v>0</v>
      </c>
      <c r="G50" s="14" t="b">
        <v>0</v>
      </c>
      <c r="H50" s="14" t="b">
        <v>0</v>
      </c>
      <c r="I50" s="15" t="str">
        <f>IF(COUNTIF(F50:H50,TRUE)=0,"offen",IF(COUNTIF(F50:H50,TRUE)&gt;1,"mehrfach!",IF(G50=TRUE,"n. i. O.","erledigt")))</f>
        <v>offen</v>
      </c>
      <c r="J50" s="8"/>
    </row>
    <row r="51" spans="1:10" ht="15.6" customHeight="1">
      <c r="A51" s="12">
        <v>35</v>
      </c>
      <c r="B51" s="7" t="s">
        <v>15</v>
      </c>
      <c r="C51" s="12" t="s">
        <v>140</v>
      </c>
      <c r="D51" s="8" t="s">
        <v>141</v>
      </c>
      <c r="E51" s="13" t="s">
        <v>142</v>
      </c>
      <c r="F51" s="14" t="b">
        <v>0</v>
      </c>
      <c r="G51" s="14" t="b">
        <v>0</v>
      </c>
      <c r="H51" s="14" t="b">
        <v>0</v>
      </c>
      <c r="I51" s="15" t="str">
        <f>IF(COUNTIF(F51:H51,TRUE)=0,"offen",IF(COUNTIF(F51:H51,TRUE)&gt;1,"mehrfach!",IF(G51=TRUE,"n. i. O.","erledigt")))</f>
        <v>offen</v>
      </c>
      <c r="J51" s="8"/>
    </row>
    <row r="52" spans="1:10" ht="15.6" customHeight="1">
      <c r="A52" s="12">
        <v>36</v>
      </c>
      <c r="B52" s="7" t="s">
        <v>15</v>
      </c>
      <c r="C52" s="12" t="s">
        <v>143</v>
      </c>
      <c r="D52" s="8" t="s">
        <v>144</v>
      </c>
      <c r="E52" s="13" t="s">
        <v>145</v>
      </c>
      <c r="F52" s="14" t="b">
        <v>0</v>
      </c>
      <c r="G52" s="14" t="b">
        <v>0</v>
      </c>
      <c r="H52" s="14" t="b">
        <v>0</v>
      </c>
      <c r="I52" s="15" t="str">
        <f>IF(COUNTIF(F52:H52,TRUE)=0,"offen",IF(COUNTIF(F52:H52,TRUE)&gt;1,"mehrfach!",IF(G52=TRUE,"n. i. O.","erledigt")))</f>
        <v>offen</v>
      </c>
      <c r="J52" s="8"/>
    </row>
    <row r="53" spans="1:10" ht="53.1" customHeight="1">
      <c r="A53" s="12">
        <v>37</v>
      </c>
      <c r="B53" s="7" t="s">
        <v>15</v>
      </c>
      <c r="C53" s="12" t="s">
        <v>146</v>
      </c>
      <c r="D53" s="8" t="s">
        <v>147</v>
      </c>
      <c r="E53" s="8"/>
      <c r="F53" s="14" t="b">
        <v>0</v>
      </c>
      <c r="G53" s="14" t="b">
        <v>0</v>
      </c>
      <c r="H53" s="14" t="b">
        <v>0</v>
      </c>
      <c r="I53" s="15" t="str">
        <f>IF(COUNTIF(F53:H53,TRUE)=0,"offen",IF(COUNTIF(F53:H53,TRUE)&gt;1,"mehrfach!",IF(G53=TRUE,"n. i. O.","erledigt")))</f>
        <v>offen</v>
      </c>
      <c r="J53" s="8"/>
    </row>
    <row r="54" spans="1:10" ht="27.95" customHeight="1">
      <c r="A54" s="12">
        <v>38</v>
      </c>
      <c r="B54" s="7" t="s">
        <v>15</v>
      </c>
      <c r="C54" s="12" t="s">
        <v>148</v>
      </c>
      <c r="D54" s="8" t="s">
        <v>149</v>
      </c>
      <c r="E54" s="13" t="s">
        <v>150</v>
      </c>
      <c r="F54" s="14" t="b">
        <v>0</v>
      </c>
      <c r="G54" s="14" t="b">
        <v>0</v>
      </c>
      <c r="H54" s="14" t="b">
        <v>0</v>
      </c>
      <c r="I54" s="15" t="str">
        <f>IF(COUNTIF(F54:H54,TRUE)=0,"offen",IF(COUNTIF(F54:H54,TRUE)&gt;1,"mehrfach!",IF(G54=TRUE,"n. i. O.","erledigt")))</f>
        <v>offen</v>
      </c>
      <c r="J54" s="8"/>
    </row>
    <row r="55" spans="1:10" ht="27.95" customHeight="1">
      <c r="A55" s="12">
        <v>39</v>
      </c>
      <c r="B55" s="7" t="s">
        <v>15</v>
      </c>
      <c r="C55" s="12" t="s">
        <v>151</v>
      </c>
      <c r="D55" s="8" t="s">
        <v>152</v>
      </c>
      <c r="E55" s="13" t="s">
        <v>153</v>
      </c>
      <c r="F55" s="14" t="b">
        <v>0</v>
      </c>
      <c r="G55" s="14" t="b">
        <v>0</v>
      </c>
      <c r="H55" s="14" t="b">
        <v>0</v>
      </c>
      <c r="I55" s="15" t="str">
        <f>IF(COUNTIF(F55:H55,TRUE)=0,"offen",IF(COUNTIF(F55:H55,TRUE)&gt;1,"mehrfach!",IF(G55=TRUE,"n. i. O.","erledigt")))</f>
        <v>offen</v>
      </c>
      <c r="J55" s="8"/>
    </row>
    <row r="56" spans="1:10">
      <c r="A56" s="29" t="s">
        <v>154</v>
      </c>
      <c r="B56" s="29"/>
      <c r="C56" s="29"/>
      <c r="D56" s="29"/>
      <c r="E56" s="29"/>
      <c r="F56" s="29"/>
      <c r="G56" s="29"/>
      <c r="H56" s="29"/>
      <c r="I56" s="29"/>
      <c r="J56" s="29"/>
    </row>
    <row r="57" spans="1:10" ht="27.95" customHeight="1">
      <c r="A57" s="16">
        <v>40</v>
      </c>
      <c r="B57" s="9" t="s">
        <v>17</v>
      </c>
      <c r="C57" s="16" t="s">
        <v>155</v>
      </c>
      <c r="D57" s="10" t="s">
        <v>156</v>
      </c>
      <c r="E57" s="17" t="s">
        <v>157</v>
      </c>
      <c r="F57" s="18" t="b">
        <v>0</v>
      </c>
      <c r="G57" s="18" t="b">
        <v>0</v>
      </c>
      <c r="H57" s="18" t="b">
        <v>0</v>
      </c>
      <c r="I57" s="19" t="str">
        <f>IF(COUNTIF(F57:H57,TRUE)=0,"offen",IF(COUNTIF(F57:H57,TRUE)&gt;1,"mehrfach!",IF(G57=TRUE,"n. i. O.","erledigt")))</f>
        <v>offen</v>
      </c>
      <c r="J57" s="10"/>
    </row>
    <row r="58" spans="1:10" ht="27.95" customHeight="1">
      <c r="A58" s="16">
        <v>41</v>
      </c>
      <c r="B58" s="9" t="s">
        <v>17</v>
      </c>
      <c r="C58" s="16" t="s">
        <v>158</v>
      </c>
      <c r="D58" s="10" t="s">
        <v>159</v>
      </c>
      <c r="E58" s="17" t="s">
        <v>157</v>
      </c>
      <c r="F58" s="18" t="b">
        <v>0</v>
      </c>
      <c r="G58" s="18" t="b">
        <v>0</v>
      </c>
      <c r="H58" s="18" t="b">
        <v>0</v>
      </c>
      <c r="I58" s="19" t="str">
        <f>IF(COUNTIF(F58:H58,TRUE)=0,"offen",IF(COUNTIF(F58:H58,TRUE)&gt;1,"mehrfach!",IF(G58=TRUE,"n. i. O.","erledigt")))</f>
        <v>offen</v>
      </c>
      <c r="J58" s="10"/>
    </row>
    <row r="59" spans="1:10" ht="15.6" customHeight="1">
      <c r="A59" s="16">
        <v>42</v>
      </c>
      <c r="B59" s="9" t="s">
        <v>17</v>
      </c>
      <c r="C59" s="16" t="s">
        <v>160</v>
      </c>
      <c r="D59" s="10" t="s">
        <v>161</v>
      </c>
      <c r="E59" s="17" t="s">
        <v>157</v>
      </c>
      <c r="F59" s="18" t="b">
        <v>0</v>
      </c>
      <c r="G59" s="18" t="b">
        <v>0</v>
      </c>
      <c r="H59" s="18" t="b">
        <v>0</v>
      </c>
      <c r="I59" s="19" t="str">
        <f>IF(COUNTIF(F59:H59,TRUE)=0,"offen",IF(COUNTIF(F59:H59,TRUE)&gt;1,"mehrfach!",IF(G59=TRUE,"n. i. O.","erledigt")))</f>
        <v>offen</v>
      </c>
      <c r="J59" s="10"/>
    </row>
    <row r="60" spans="1:10" ht="27.95" customHeight="1">
      <c r="A60" s="16">
        <v>43</v>
      </c>
      <c r="B60" s="9" t="s">
        <v>17</v>
      </c>
      <c r="C60" s="16" t="s">
        <v>162</v>
      </c>
      <c r="D60" s="10" t="s">
        <v>163</v>
      </c>
      <c r="E60" s="17" t="s">
        <v>157</v>
      </c>
      <c r="F60" s="18" t="b">
        <v>0</v>
      </c>
      <c r="G60" s="18" t="b">
        <v>0</v>
      </c>
      <c r="H60" s="18" t="b">
        <v>0</v>
      </c>
      <c r="I60" s="19" t="str">
        <f>IF(COUNTIF(F60:H60,TRUE)=0,"offen",IF(COUNTIF(F60:H60,TRUE)&gt;1,"mehrfach!",IF(G60=TRUE,"n. i. O.","erledigt")))</f>
        <v>offen</v>
      </c>
      <c r="J60" s="10"/>
    </row>
    <row r="61" spans="1:10" ht="27.95" customHeight="1">
      <c r="A61" s="16">
        <v>44</v>
      </c>
      <c r="B61" s="9" t="s">
        <v>17</v>
      </c>
      <c r="C61" s="16" t="s">
        <v>164</v>
      </c>
      <c r="D61" s="10" t="s">
        <v>165</v>
      </c>
      <c r="E61" s="17" t="s">
        <v>157</v>
      </c>
      <c r="F61" s="18" t="b">
        <v>0</v>
      </c>
      <c r="G61" s="18" t="b">
        <v>0</v>
      </c>
      <c r="H61" s="18" t="b">
        <v>0</v>
      </c>
      <c r="I61" s="19" t="str">
        <f>IF(COUNTIF(F61:H61,TRUE)=0,"offen",IF(COUNTIF(F61:H61,TRUE)&gt;1,"mehrfach!",IF(G61=TRUE,"n. i. O.","erledigt")))</f>
        <v>offen</v>
      </c>
      <c r="J61" s="10"/>
    </row>
    <row r="62" spans="1:10">
      <c r="A62" s="29" t="s">
        <v>166</v>
      </c>
      <c r="B62" s="29"/>
      <c r="C62" s="29"/>
      <c r="D62" s="29"/>
      <c r="E62" s="29"/>
      <c r="F62" s="29"/>
      <c r="G62" s="29"/>
      <c r="H62" s="29"/>
      <c r="I62" s="29"/>
      <c r="J62" s="29"/>
    </row>
    <row r="63" spans="1:10" ht="40.5" customHeight="1">
      <c r="A63" s="16">
        <v>45</v>
      </c>
      <c r="B63" s="9" t="s">
        <v>17</v>
      </c>
      <c r="C63" s="16" t="s">
        <v>167</v>
      </c>
      <c r="D63" s="10" t="s">
        <v>168</v>
      </c>
      <c r="E63" s="17" t="s">
        <v>169</v>
      </c>
      <c r="F63" s="18" t="b">
        <v>0</v>
      </c>
      <c r="G63" s="18" t="b">
        <v>0</v>
      </c>
      <c r="H63" s="18" t="b">
        <v>0</v>
      </c>
      <c r="I63" s="19" t="str">
        <f>IF(COUNTIF(F63:H63,TRUE)=0,"offen",IF(COUNTIF(F63:H63,TRUE)&gt;1,"mehrfach!",IF(G63=TRUE,"n. i. O.","erledigt")))</f>
        <v>offen</v>
      </c>
      <c r="J63" s="10"/>
    </row>
    <row r="64" spans="1:10" ht="40.5" customHeight="1">
      <c r="A64" s="16">
        <v>46</v>
      </c>
      <c r="B64" s="9" t="s">
        <v>17</v>
      </c>
      <c r="C64" s="16" t="s">
        <v>170</v>
      </c>
      <c r="D64" s="10" t="s">
        <v>171</v>
      </c>
      <c r="E64" s="17" t="s">
        <v>169</v>
      </c>
      <c r="F64" s="18" t="b">
        <v>0</v>
      </c>
      <c r="G64" s="18" t="b">
        <v>0</v>
      </c>
      <c r="H64" s="18" t="b">
        <v>0</v>
      </c>
      <c r="I64" s="19" t="str">
        <f>IF(COUNTIF(F64:H64,TRUE)=0,"offen",IF(COUNTIF(F64:H64,TRUE)&gt;1,"mehrfach!",IF(G64=TRUE,"n. i. O.","erledigt")))</f>
        <v>offen</v>
      </c>
      <c r="J64" s="10"/>
    </row>
    <row r="65" spans="1:10">
      <c r="A65" s="29" t="s">
        <v>172</v>
      </c>
      <c r="B65" s="29"/>
      <c r="C65" s="29"/>
      <c r="D65" s="29"/>
      <c r="E65" s="29"/>
      <c r="F65" s="29"/>
      <c r="G65" s="29"/>
      <c r="H65" s="29"/>
      <c r="I65" s="29"/>
      <c r="J65" s="29"/>
    </row>
    <row r="66" spans="1:10" ht="27.95" customHeight="1">
      <c r="A66" s="16">
        <v>47</v>
      </c>
      <c r="B66" s="9" t="s">
        <v>17</v>
      </c>
      <c r="C66" s="16" t="s">
        <v>173</v>
      </c>
      <c r="D66" s="10" t="s">
        <v>174</v>
      </c>
      <c r="E66" s="17" t="s">
        <v>175</v>
      </c>
      <c r="F66" s="18" t="b">
        <v>0</v>
      </c>
      <c r="G66" s="18" t="b">
        <v>0</v>
      </c>
      <c r="H66" s="18" t="b">
        <v>0</v>
      </c>
      <c r="I66" s="19" t="str">
        <f>IF(COUNTIF(F66:H66,TRUE)=0,"offen",IF(COUNTIF(F66:H66,TRUE)&gt;1,"mehrfach!",IF(G66=TRUE,"n. i. O.","erledigt")))</f>
        <v>offen</v>
      </c>
      <c r="J66" s="10"/>
    </row>
    <row r="67" spans="1:10" ht="20.100000000000001" customHeight="1">
      <c r="A67" s="27" t="s">
        <v>176</v>
      </c>
      <c r="B67" s="27"/>
      <c r="C67" s="27"/>
      <c r="D67" s="27"/>
      <c r="E67" s="27"/>
      <c r="F67" s="27"/>
      <c r="G67" s="27"/>
      <c r="H67" s="27"/>
      <c r="I67" s="27"/>
      <c r="J67" s="27"/>
    </row>
    <row r="68" spans="1:10">
      <c r="A68" s="28" t="s">
        <v>177</v>
      </c>
      <c r="B68" s="28"/>
      <c r="C68" s="28"/>
      <c r="D68" s="28"/>
      <c r="E68" s="28"/>
      <c r="F68" s="28"/>
      <c r="G68" s="28"/>
      <c r="H68" s="28"/>
      <c r="I68" s="28"/>
      <c r="J68" s="28"/>
    </row>
    <row r="69" spans="1:10" ht="40.5" customHeight="1">
      <c r="A69" s="12">
        <v>48</v>
      </c>
      <c r="B69" s="7" t="s">
        <v>15</v>
      </c>
      <c r="C69" s="12" t="s">
        <v>178</v>
      </c>
      <c r="D69" s="8" t="s">
        <v>179</v>
      </c>
      <c r="E69" s="13" t="s">
        <v>180</v>
      </c>
      <c r="F69" s="14" t="b">
        <v>0</v>
      </c>
      <c r="G69" s="14" t="b">
        <v>0</v>
      </c>
      <c r="H69" s="14" t="b">
        <v>0</v>
      </c>
      <c r="I69" s="15" t="str">
        <f>IF(COUNTIF(F69:H69,TRUE)=0,"offen",IF(COUNTIF(F69:H69,TRUE)&gt;1,"mehrfach!",IF(G69=TRUE,"n. i. O.","erledigt")))</f>
        <v>offen</v>
      </c>
      <c r="J69" s="8"/>
    </row>
    <row r="70" spans="1:10" ht="15.6" customHeight="1">
      <c r="A70" s="12">
        <v>49</v>
      </c>
      <c r="B70" s="7" t="s">
        <v>15</v>
      </c>
      <c r="C70" s="12" t="s">
        <v>181</v>
      </c>
      <c r="D70" s="8" t="s">
        <v>182</v>
      </c>
      <c r="E70" s="8"/>
      <c r="F70" s="14" t="b">
        <v>0</v>
      </c>
      <c r="G70" s="14" t="b">
        <v>0</v>
      </c>
      <c r="H70" s="14" t="b">
        <v>0</v>
      </c>
      <c r="I70" s="15" t="str">
        <f>IF(COUNTIF(F70:H70,TRUE)=0,"offen",IF(COUNTIF(F70:H70,TRUE)&gt;1,"mehrfach!",IF(G70=TRUE,"n. i. O.","erledigt")))</f>
        <v>offen</v>
      </c>
      <c r="J70" s="8"/>
    </row>
    <row r="71" spans="1:10" ht="27.95" customHeight="1">
      <c r="A71" s="12">
        <v>50</v>
      </c>
      <c r="B71" s="7" t="s">
        <v>15</v>
      </c>
      <c r="C71" s="12" t="s">
        <v>183</v>
      </c>
      <c r="D71" s="8" t="s">
        <v>184</v>
      </c>
      <c r="E71" s="8"/>
      <c r="F71" s="14" t="b">
        <v>0</v>
      </c>
      <c r="G71" s="14" t="b">
        <v>0</v>
      </c>
      <c r="H71" s="14" t="b">
        <v>0</v>
      </c>
      <c r="I71" s="15" t="str">
        <f>IF(COUNTIF(F71:H71,TRUE)=0,"offen",IF(COUNTIF(F71:H71,TRUE)&gt;1,"mehrfach!",IF(G71=TRUE,"n. i. O.","erledigt")))</f>
        <v>offen</v>
      </c>
      <c r="J71" s="8"/>
    </row>
    <row r="72" spans="1:10" ht="27.95" customHeight="1">
      <c r="A72" s="12">
        <v>51</v>
      </c>
      <c r="B72" s="7" t="s">
        <v>15</v>
      </c>
      <c r="C72" s="12" t="s">
        <v>185</v>
      </c>
      <c r="D72" s="8" t="s">
        <v>186</v>
      </c>
      <c r="E72" s="13" t="s">
        <v>187</v>
      </c>
      <c r="F72" s="14" t="b">
        <v>0</v>
      </c>
      <c r="G72" s="14" t="b">
        <v>0</v>
      </c>
      <c r="H72" s="14" t="b">
        <v>0</v>
      </c>
      <c r="I72" s="15" t="str">
        <f>IF(COUNTIF(F72:H72,TRUE)=0,"offen",IF(COUNTIF(F72:H72,TRUE)&gt;1,"mehrfach!",IF(G72=TRUE,"n. i. O.","erledigt")))</f>
        <v>offen</v>
      </c>
      <c r="J72" s="8"/>
    </row>
    <row r="73" spans="1:10" ht="27.95" customHeight="1">
      <c r="A73" s="12">
        <v>52</v>
      </c>
      <c r="B73" s="7" t="s">
        <v>15</v>
      </c>
      <c r="C73" s="12" t="s">
        <v>188</v>
      </c>
      <c r="D73" s="8" t="s">
        <v>189</v>
      </c>
      <c r="E73" s="13" t="s">
        <v>187</v>
      </c>
      <c r="F73" s="14" t="b">
        <v>0</v>
      </c>
      <c r="G73" s="14" t="b">
        <v>0</v>
      </c>
      <c r="H73" s="14" t="b">
        <v>0</v>
      </c>
      <c r="I73" s="15" t="str">
        <f>IF(COUNTIF(F73:H73,TRUE)=0,"offen",IF(COUNTIF(F73:H73,TRUE)&gt;1,"mehrfach!",IF(G73=TRUE,"n. i. O.","erledigt")))</f>
        <v>offen</v>
      </c>
      <c r="J73" s="8"/>
    </row>
    <row r="74" spans="1:10" ht="27.95" customHeight="1">
      <c r="A74" s="12">
        <v>53</v>
      </c>
      <c r="B74" s="7" t="s">
        <v>15</v>
      </c>
      <c r="C74" s="12" t="s">
        <v>190</v>
      </c>
      <c r="D74" s="8" t="s">
        <v>191</v>
      </c>
      <c r="E74" s="13" t="s">
        <v>187</v>
      </c>
      <c r="F74" s="14" t="b">
        <v>0</v>
      </c>
      <c r="G74" s="14" t="b">
        <v>0</v>
      </c>
      <c r="H74" s="14" t="b">
        <v>0</v>
      </c>
      <c r="I74" s="15" t="str">
        <f>IF(COUNTIF(F74:H74,TRUE)=0,"offen",IF(COUNTIF(F74:H74,TRUE)&gt;1,"mehrfach!",IF(G74=TRUE,"n. i. O.","erledigt")))</f>
        <v>offen</v>
      </c>
      <c r="J74" s="8"/>
    </row>
    <row r="75" spans="1:10" ht="27.95" customHeight="1">
      <c r="A75" s="12">
        <v>54</v>
      </c>
      <c r="B75" s="7" t="s">
        <v>15</v>
      </c>
      <c r="C75" s="12" t="s">
        <v>192</v>
      </c>
      <c r="D75" s="8" t="s">
        <v>193</v>
      </c>
      <c r="E75" s="8"/>
      <c r="F75" s="14" t="b">
        <v>0</v>
      </c>
      <c r="G75" s="14" t="b">
        <v>0</v>
      </c>
      <c r="H75" s="14" t="b">
        <v>0</v>
      </c>
      <c r="I75" s="15" t="str">
        <f>IF(COUNTIF(F75:H75,TRUE)=0,"offen",IF(COUNTIF(F75:H75,TRUE)&gt;1,"mehrfach!",IF(G75=TRUE,"n. i. O.","erledigt")))</f>
        <v>offen</v>
      </c>
      <c r="J75" s="8"/>
    </row>
    <row r="76" spans="1:10">
      <c r="A76" s="29" t="s">
        <v>194</v>
      </c>
      <c r="B76" s="29"/>
      <c r="C76" s="29"/>
      <c r="D76" s="29"/>
      <c r="E76" s="29"/>
      <c r="F76" s="29"/>
      <c r="G76" s="29"/>
      <c r="H76" s="29"/>
      <c r="I76" s="29"/>
      <c r="J76" s="29"/>
    </row>
    <row r="77" spans="1:10" ht="27.95" customHeight="1">
      <c r="A77" s="16">
        <v>55</v>
      </c>
      <c r="B77" s="9" t="s">
        <v>17</v>
      </c>
      <c r="C77" s="16" t="s">
        <v>195</v>
      </c>
      <c r="D77" s="10" t="s">
        <v>196</v>
      </c>
      <c r="E77" s="17" t="s">
        <v>197</v>
      </c>
      <c r="F77" s="18" t="b">
        <v>0</v>
      </c>
      <c r="G77" s="18" t="b">
        <v>0</v>
      </c>
      <c r="H77" s="18" t="b">
        <v>0</v>
      </c>
      <c r="I77" s="19" t="str">
        <f>IF(COUNTIF(F77:H77,TRUE)=0,"offen",IF(COUNTIF(F77:H77,TRUE)&gt;1,"mehrfach!",IF(G77=TRUE,"n. i. O.","erledigt")))</f>
        <v>offen</v>
      </c>
      <c r="J77" s="10"/>
    </row>
    <row r="78" spans="1:10" ht="15.6" customHeight="1">
      <c r="A78" s="16">
        <v>56</v>
      </c>
      <c r="B78" s="9" t="s">
        <v>17</v>
      </c>
      <c r="C78" s="16" t="s">
        <v>198</v>
      </c>
      <c r="D78" s="10" t="s">
        <v>199</v>
      </c>
      <c r="E78" s="17" t="s">
        <v>197</v>
      </c>
      <c r="F78" s="18" t="b">
        <v>0</v>
      </c>
      <c r="G78" s="18" t="b">
        <v>0</v>
      </c>
      <c r="H78" s="18" t="b">
        <v>0</v>
      </c>
      <c r="I78" s="19" t="str">
        <f>IF(COUNTIF(F78:H78,TRUE)=0,"offen",IF(COUNTIF(F78:H78,TRUE)&gt;1,"mehrfach!",IF(G78=TRUE,"n. i. O.","erledigt")))</f>
        <v>offen</v>
      </c>
      <c r="J78" s="10"/>
    </row>
    <row r="79" spans="1:10" ht="15.6" customHeight="1">
      <c r="A79" s="16">
        <v>57</v>
      </c>
      <c r="B79" s="9" t="s">
        <v>17</v>
      </c>
      <c r="C79" s="16" t="s">
        <v>200</v>
      </c>
      <c r="D79" s="10" t="s">
        <v>201</v>
      </c>
      <c r="E79" s="17" t="s">
        <v>197</v>
      </c>
      <c r="F79" s="18" t="b">
        <v>0</v>
      </c>
      <c r="G79" s="18" t="b">
        <v>0</v>
      </c>
      <c r="H79" s="18" t="b">
        <v>0</v>
      </c>
      <c r="I79" s="19" t="str">
        <f>IF(COUNTIF(F79:H79,TRUE)=0,"offen",IF(COUNTIF(F79:H79,TRUE)&gt;1,"mehrfach!",IF(G79=TRUE,"n. i. O.","erledigt")))</f>
        <v>offen</v>
      </c>
      <c r="J79" s="10"/>
    </row>
    <row r="80" spans="1:10" ht="15.6" customHeight="1">
      <c r="A80" s="16">
        <v>58</v>
      </c>
      <c r="B80" s="9" t="s">
        <v>17</v>
      </c>
      <c r="C80" s="16" t="s">
        <v>202</v>
      </c>
      <c r="D80" s="10" t="s">
        <v>203</v>
      </c>
      <c r="E80" s="17" t="s">
        <v>197</v>
      </c>
      <c r="F80" s="18" t="b">
        <v>0</v>
      </c>
      <c r="G80" s="18" t="b">
        <v>0</v>
      </c>
      <c r="H80" s="18" t="b">
        <v>0</v>
      </c>
      <c r="I80" s="19" t="str">
        <f>IF(COUNTIF(F80:H80,TRUE)=0,"offen",IF(COUNTIF(F80:H80,TRUE)&gt;1,"mehrfach!",IF(G80=TRUE,"n. i. O.","erledigt")))</f>
        <v>offen</v>
      </c>
      <c r="J80" s="10"/>
    </row>
    <row r="81" spans="1:10" ht="15.6" customHeight="1">
      <c r="A81" s="16">
        <v>59</v>
      </c>
      <c r="B81" s="9" t="s">
        <v>17</v>
      </c>
      <c r="C81" s="16" t="s">
        <v>204</v>
      </c>
      <c r="D81" s="10" t="s">
        <v>205</v>
      </c>
      <c r="E81" s="17" t="s">
        <v>197</v>
      </c>
      <c r="F81" s="18" t="b">
        <v>0</v>
      </c>
      <c r="G81" s="18" t="b">
        <v>0</v>
      </c>
      <c r="H81" s="18" t="b">
        <v>0</v>
      </c>
      <c r="I81" s="19" t="str">
        <f>IF(COUNTIF(F81:H81,TRUE)=0,"offen",IF(COUNTIF(F81:H81,TRUE)&gt;1,"mehrfach!",IF(G81=TRUE,"n. i. O.","erledigt")))</f>
        <v>offen</v>
      </c>
      <c r="J81" s="10"/>
    </row>
    <row r="82" spans="1:10" ht="27.95" customHeight="1">
      <c r="A82" s="16">
        <v>60</v>
      </c>
      <c r="B82" s="9" t="s">
        <v>17</v>
      </c>
      <c r="C82" s="16" t="s">
        <v>206</v>
      </c>
      <c r="D82" s="10" t="s">
        <v>207</v>
      </c>
      <c r="E82" s="17" t="s">
        <v>197</v>
      </c>
      <c r="F82" s="18" t="b">
        <v>0</v>
      </c>
      <c r="G82" s="18" t="b">
        <v>0</v>
      </c>
      <c r="H82" s="18" t="b">
        <v>0</v>
      </c>
      <c r="I82" s="19" t="str">
        <f>IF(COUNTIF(F82:H82,TRUE)=0,"offen",IF(COUNTIF(F82:H82,TRUE)&gt;1,"mehrfach!",IF(G82=TRUE,"n. i. O.","erledigt")))</f>
        <v>offen</v>
      </c>
      <c r="J82" s="10"/>
    </row>
    <row r="83" spans="1:10" ht="15.6" customHeight="1">
      <c r="A83" s="16">
        <v>61</v>
      </c>
      <c r="B83" s="9" t="s">
        <v>17</v>
      </c>
      <c r="C83" s="16" t="s">
        <v>208</v>
      </c>
      <c r="D83" s="10" t="s">
        <v>209</v>
      </c>
      <c r="E83" s="17" t="s">
        <v>197</v>
      </c>
      <c r="F83" s="18" t="b">
        <v>0</v>
      </c>
      <c r="G83" s="18" t="b">
        <v>0</v>
      </c>
      <c r="H83" s="18" t="b">
        <v>0</v>
      </c>
      <c r="I83" s="19" t="str">
        <f>IF(COUNTIF(F83:H83,TRUE)=0,"offen",IF(COUNTIF(F83:H83,TRUE)&gt;1,"mehrfach!",IF(G83=TRUE,"n. i. O.","erledigt")))</f>
        <v>offen</v>
      </c>
      <c r="J83" s="10"/>
    </row>
    <row r="84" spans="1:10" ht="15.6" customHeight="1">
      <c r="A84" s="16">
        <v>62</v>
      </c>
      <c r="B84" s="9" t="s">
        <v>17</v>
      </c>
      <c r="C84" s="16" t="s">
        <v>210</v>
      </c>
      <c r="D84" s="10" t="s">
        <v>211</v>
      </c>
      <c r="E84" s="17" t="s">
        <v>197</v>
      </c>
      <c r="F84" s="18" t="b">
        <v>0</v>
      </c>
      <c r="G84" s="18" t="b">
        <v>0</v>
      </c>
      <c r="H84" s="18" t="b">
        <v>0</v>
      </c>
      <c r="I84" s="19" t="str">
        <f>IF(COUNTIF(F84:H84,TRUE)=0,"offen",IF(COUNTIF(F84:H84,TRUE)&gt;1,"mehrfach!",IF(G84=TRUE,"n. i. O.","erledigt")))</f>
        <v>offen</v>
      </c>
      <c r="J84" s="10"/>
    </row>
    <row r="85" spans="1:10">
      <c r="A85" s="29" t="s">
        <v>172</v>
      </c>
      <c r="B85" s="29"/>
      <c r="C85" s="29"/>
      <c r="D85" s="29"/>
      <c r="E85" s="29"/>
      <c r="F85" s="29"/>
      <c r="G85" s="29"/>
      <c r="H85" s="29"/>
      <c r="I85" s="29"/>
      <c r="J85" s="29"/>
    </row>
    <row r="86" spans="1:10" ht="27.95" customHeight="1">
      <c r="A86" s="16">
        <v>63</v>
      </c>
      <c r="B86" s="9" t="s">
        <v>17</v>
      </c>
      <c r="C86" s="16" t="s">
        <v>212</v>
      </c>
      <c r="D86" s="10" t="s">
        <v>213</v>
      </c>
      <c r="E86" s="17" t="s">
        <v>214</v>
      </c>
      <c r="F86" s="18" t="b">
        <v>0</v>
      </c>
      <c r="G86" s="18" t="b">
        <v>0</v>
      </c>
      <c r="H86" s="18" t="b">
        <v>0</v>
      </c>
      <c r="I86" s="19" t="str">
        <f>IF(COUNTIF(F86:H86,TRUE)=0,"offen",IF(COUNTIF(F86:H86,TRUE)&gt;1,"mehrfach!",IF(G86=TRUE,"n. i. O.","erledigt")))</f>
        <v>offen</v>
      </c>
      <c r="J86" s="10"/>
    </row>
  </sheetData>
  <autoFilter ref="A4:J86" xr:uid="{00000000-0009-0000-0000-000001000000}"/>
  <mergeCells count="19">
    <mergeCell ref="A67:J67"/>
    <mergeCell ref="A68:J68"/>
    <mergeCell ref="A76:J76"/>
    <mergeCell ref="A85:J85"/>
    <mergeCell ref="A45:J45"/>
    <mergeCell ref="A46:J46"/>
    <mergeCell ref="A56:J56"/>
    <mergeCell ref="A62:J62"/>
    <mergeCell ref="A65:J65"/>
    <mergeCell ref="A22:J22"/>
    <mergeCell ref="A28:J28"/>
    <mergeCell ref="A32:J32"/>
    <mergeCell ref="A37:J37"/>
    <mergeCell ref="A38:J38"/>
    <mergeCell ref="A5:J5"/>
    <mergeCell ref="A6:J6"/>
    <mergeCell ref="A15:J15"/>
    <mergeCell ref="A19:J19"/>
    <mergeCell ref="A21:J21"/>
  </mergeCells>
  <conditionalFormatting sqref="I5:I86">
    <cfRule type="cellIs" dxfId="2" priority="1" operator="equal">
      <formula>"erledigt"</formula>
    </cfRule>
    <cfRule type="cellIs" dxfId="1" priority="2" operator="equal">
      <formula>"n. i. O."</formula>
    </cfRule>
    <cfRule type="cellIs" dxfId="0" priority="3" operator="equal">
      <formula>"mehrfach!"</formula>
    </cfRule>
  </conditionalFormatting>
  <hyperlinks>
    <hyperlink ref="E7" location="'Prüfprotokoll'!D16" tooltip="Zur zugehörigen Prüfanleitung springen" display="↓ PA 1 (+1)" xr:uid="{00000000-0004-0000-0100-000000000000}"/>
    <hyperlink ref="E8" location="'Prüfprotokoll'!D16" tooltip="Zur zugehörigen Prüfanleitung springen" display="↓ PA 1 (+1)" xr:uid="{00000000-0004-0000-0100-000001000000}"/>
    <hyperlink ref="E12" location="'Prüfprotokoll'!D20" tooltip="Zur zugehörigen Prüfanleitung springen" display="↓ PA 4" xr:uid="{00000000-0004-0000-0100-000002000000}"/>
    <hyperlink ref="E13" location="'Prüfprotokoll'!D20" tooltip="Zur zugehörigen Prüfanleitung springen" display="↓ PA 4" xr:uid="{00000000-0004-0000-0100-000003000000}"/>
    <hyperlink ref="E14" location="'Prüfprotokoll'!D20" tooltip="Zur zugehörigen Prüfanleitung springen" display="↓ PA 4" xr:uid="{00000000-0004-0000-0100-000004000000}"/>
    <hyperlink ref="E16" location="'Prüfprotokoll'!D7" tooltip="Zur TIP-Frage springen" display="↑ S1 Nr. 1, 2" xr:uid="{00000000-0004-0000-0100-000005000000}"/>
    <hyperlink ref="E17" location="'Prüfprotokoll'!D8" tooltip="Zur TIP-Frage springen" display="↑ S1 Nr. 2, 27" xr:uid="{00000000-0004-0000-0100-000006000000}"/>
    <hyperlink ref="E18" location="'Prüfprotokoll'!D7" tooltip="Zur TIP-Frage springen" display="↑ S1 Nr. 1" xr:uid="{00000000-0004-0000-0100-000007000000}"/>
    <hyperlink ref="E20" location="'Prüfprotokoll'!D12" tooltip="Zur TIP-Frage springen" display="↑ S1 Nr. 6, 7, 8" xr:uid="{00000000-0004-0000-0100-000008000000}"/>
    <hyperlink ref="E23" location="'Prüfprotokoll'!D29" tooltip="Zur zugehörigen Prüfanleitung springen" display="↓ PA 5 (+1)" xr:uid="{00000000-0004-0000-0100-000009000000}"/>
    <hyperlink ref="E24" location="'Prüfprotokoll'!D31" tooltip="Zur zugehörigen Prüfanleitung springen" display="↓ PA 7" xr:uid="{00000000-0004-0000-0100-00000A000000}"/>
    <hyperlink ref="E25" location="'Prüfprotokoll'!D33" tooltip="Zur zugehörigen Prüfanleitung springen" display="↓ PA 8 (+3)" xr:uid="{00000000-0004-0000-0100-00000B000000}"/>
    <hyperlink ref="E29" location="'Prüfprotokoll'!D23" tooltip="Zur TIP-Frage springen" display="↑ S1 Nr. 9" xr:uid="{00000000-0004-0000-0100-00000C000000}"/>
    <hyperlink ref="E30" location="'Prüfprotokoll'!D23" tooltip="Zur TIP-Frage springen" display="↑ S1 Nr. 9" xr:uid="{00000000-0004-0000-0100-00000D000000}"/>
    <hyperlink ref="E31" location="'Prüfprotokoll'!D24" tooltip="Zur TIP-Frage springen" display="↑ S1 Nr. 10" xr:uid="{00000000-0004-0000-0100-00000E000000}"/>
    <hyperlink ref="E33" location="'Prüfprotokoll'!D25" tooltip="Zur TIP-Frage springen" display="↑ S1 Nr. 11" xr:uid="{00000000-0004-0000-0100-00000F000000}"/>
    <hyperlink ref="E34" location="'Prüfprotokoll'!D25" tooltip="Zur TIP-Frage springen" display="↑ S1 Nr. 11" xr:uid="{00000000-0004-0000-0100-000010000000}"/>
    <hyperlink ref="E35" location="'Prüfprotokoll'!D25" tooltip="Zur TIP-Frage springen" display="↑ S1 Nr. 11" xr:uid="{00000000-0004-0000-0100-000011000000}"/>
    <hyperlink ref="E36" location="'Prüfprotokoll'!D25" tooltip="Zur TIP-Frage springen" display="↑ S1 Nr. 11" xr:uid="{00000000-0004-0000-0100-000012000000}"/>
    <hyperlink ref="E51" location="'Prüfprotokoll'!D57" tooltip="Zur zugehörigen Prüfanleitung springen" display="↓ PA 12 (+4)" xr:uid="{00000000-0004-0000-0100-000013000000}"/>
    <hyperlink ref="E52" location="'Prüfprotokoll'!D63" tooltip="Zur zugehörigen Prüfanleitung springen" display="↓ PA 17 (+1)" xr:uid="{00000000-0004-0000-0100-000014000000}"/>
    <hyperlink ref="E54" location="'Prüfprotokoll'!D17" tooltip="Zur zugehörigen Prüfanleitung springen" display="↑ PA 2" xr:uid="{00000000-0004-0000-0100-000015000000}"/>
    <hyperlink ref="E55" location="'Prüfprotokoll'!D66" tooltip="Zur zugehörigen Prüfanleitung springen" display="↓ PA 19" xr:uid="{00000000-0004-0000-0100-000016000000}"/>
    <hyperlink ref="E57" location="'Prüfprotokoll'!D51" tooltip="Zur TIP-Frage springen" display="↑ S1 Nr. 24" xr:uid="{00000000-0004-0000-0100-000017000000}"/>
    <hyperlink ref="E58" location="'Prüfprotokoll'!D51" tooltip="Zur TIP-Frage springen" display="↑ S1 Nr. 24" xr:uid="{00000000-0004-0000-0100-000018000000}"/>
    <hyperlink ref="E59" location="'Prüfprotokoll'!D51" tooltip="Zur TIP-Frage springen" display="↑ S1 Nr. 24" xr:uid="{00000000-0004-0000-0100-000019000000}"/>
    <hyperlink ref="E60" location="'Prüfprotokoll'!D51" tooltip="Zur TIP-Frage springen" display="↑ S1 Nr. 24" xr:uid="{00000000-0004-0000-0100-00001A000000}"/>
    <hyperlink ref="E61" location="'Prüfprotokoll'!D51" tooltip="Zur TIP-Frage springen" display="↑ S1 Nr. 24" xr:uid="{00000000-0004-0000-0100-00001B000000}"/>
    <hyperlink ref="E63" location="'Prüfprotokoll'!D52" tooltip="Zur TIP-Frage springen" display="↑ S1 Nr. 25" xr:uid="{00000000-0004-0000-0100-00001C000000}"/>
    <hyperlink ref="E64" location="'Prüfprotokoll'!D52" tooltip="Zur TIP-Frage springen" display="↑ S1 Nr. 25" xr:uid="{00000000-0004-0000-0100-00001D000000}"/>
    <hyperlink ref="E66" location="'Prüfprotokoll'!D55" tooltip="Zur TIP-Frage springen" display="↑ S1 Nr. 28" xr:uid="{00000000-0004-0000-0100-00001E000000}"/>
    <hyperlink ref="E69" location="'Prüfprotokoll'!D77" tooltip="Zur zugehörigen Prüfanleitung springen" display="↓ PA 20 (+7)" xr:uid="{00000000-0004-0000-0100-00001F000000}"/>
    <hyperlink ref="E72" location="'Prüfprotokoll'!D86" tooltip="Zur zugehörigen Prüfanleitung springen" display="↓ PA 28" xr:uid="{00000000-0004-0000-0100-000020000000}"/>
    <hyperlink ref="E73" location="'Prüfprotokoll'!D86" tooltip="Zur zugehörigen Prüfanleitung springen" display="↓ PA 28" xr:uid="{00000000-0004-0000-0100-000021000000}"/>
    <hyperlink ref="E74" location="'Prüfprotokoll'!D86" tooltip="Zur zugehörigen Prüfanleitung springen" display="↓ PA 28" xr:uid="{00000000-0004-0000-0100-000022000000}"/>
    <hyperlink ref="E77" location="'Prüfprotokoll'!D69" tooltip="Zur TIP-Frage springen" display="↑ S1 Nr. 29" xr:uid="{00000000-0004-0000-0100-000023000000}"/>
    <hyperlink ref="E78" location="'Prüfprotokoll'!D69" tooltip="Zur TIP-Frage springen" display="↑ S1 Nr. 29" xr:uid="{00000000-0004-0000-0100-000024000000}"/>
    <hyperlink ref="E79" location="'Prüfprotokoll'!D69" tooltip="Zur TIP-Frage springen" display="↑ S1 Nr. 29" xr:uid="{00000000-0004-0000-0100-000025000000}"/>
    <hyperlink ref="E80" location="'Prüfprotokoll'!D69" tooltip="Zur TIP-Frage springen" display="↑ S1 Nr. 29" xr:uid="{00000000-0004-0000-0100-000026000000}"/>
    <hyperlink ref="E81" location="'Prüfprotokoll'!D69" tooltip="Zur TIP-Frage springen" display="↑ S1 Nr. 29" xr:uid="{00000000-0004-0000-0100-000027000000}"/>
    <hyperlink ref="E82" location="'Prüfprotokoll'!D69" tooltip="Zur TIP-Frage springen" display="↑ S1 Nr. 29" xr:uid="{00000000-0004-0000-0100-000028000000}"/>
    <hyperlink ref="E83" location="'Prüfprotokoll'!D69" tooltip="Zur TIP-Frage springen" display="↑ S1 Nr. 29" xr:uid="{00000000-0004-0000-0100-000029000000}"/>
    <hyperlink ref="E84" location="'Prüfprotokoll'!D69" tooltip="Zur TIP-Frage springen" display="↑ S1 Nr. 29" xr:uid="{00000000-0004-0000-0100-00002A000000}"/>
    <hyperlink ref="E86" location="'Prüfprotokoll'!D72" tooltip="Zur TIP-Frage springen" display="↑ S1 Nr. 32, 33, 34" xr:uid="{00000000-0004-0000-0100-00002B000000}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Stellwerkskern (S1 + Prüfanleitung)</oddHeader>
    <oddFooter>&amp;L&amp;8Template Ausgabe 01&amp;R&amp;8Seite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I36"/>
  <sheetViews>
    <sheetView workbookViewId="0"/>
  </sheetViews>
  <sheetFormatPr defaultRowHeight="15"/>
  <cols>
    <col min="1" max="1" width="3.7109375" customWidth="1"/>
    <col min="2" max="2" width="48.7109375" customWidth="1"/>
    <col min="3" max="9" width="11.7109375" customWidth="1"/>
  </cols>
  <sheetData>
    <row r="2" spans="2:9">
      <c r="B2" s="11" t="s">
        <v>215</v>
      </c>
    </row>
    <row r="4" spans="2:9">
      <c r="B4" s="5" t="s">
        <v>216</v>
      </c>
      <c r="C4" s="5" t="s">
        <v>15</v>
      </c>
      <c r="D4" s="5" t="s">
        <v>17</v>
      </c>
      <c r="E4" s="5" t="s">
        <v>43</v>
      </c>
      <c r="F4" s="5" t="s">
        <v>44</v>
      </c>
      <c r="G4" s="5" t="s">
        <v>45</v>
      </c>
      <c r="H4" s="5" t="s">
        <v>217</v>
      </c>
      <c r="I4" s="5" t="s">
        <v>218</v>
      </c>
    </row>
    <row r="5" spans="2:9">
      <c r="B5" s="10" t="s">
        <v>48</v>
      </c>
      <c r="C5" s="16">
        <f>COUNTIF(Prüfprotokoll!B6:B20,"TIP S1")</f>
        <v>0</v>
      </c>
      <c r="D5" s="16">
        <f>COUNTIF(Prüfprotokoll!B6:B20,"PA")</f>
        <v>0</v>
      </c>
      <c r="E5" s="16">
        <f>COUNTIF(Prüfprotokoll!F6:F20,TRUE)</f>
        <v>0</v>
      </c>
      <c r="F5" s="16">
        <f>COUNTIF(Prüfprotokoll!G6:G20,TRUE)</f>
        <v>0</v>
      </c>
      <c r="G5" s="16">
        <f>COUNTIF(Prüfprotokoll!H6:H20,TRUE)</f>
        <v>0</v>
      </c>
      <c r="H5" s="16">
        <f>COUNTIF(Prüfprotokoll!I6:I20,"offen")</f>
        <v>0</v>
      </c>
      <c r="I5" s="16">
        <f>COUNTIF(Prüfprotokoll!I6:I20,"mehrfach!")</f>
        <v>0</v>
      </c>
    </row>
    <row r="6" spans="2:9">
      <c r="B6" s="10" t="s">
        <v>82</v>
      </c>
      <c r="C6" s="16">
        <f>COUNTIF(Prüfprotokoll!B22:B36,"TIP S1")</f>
        <v>0</v>
      </c>
      <c r="D6" s="16">
        <f>COUNTIF(Prüfprotokoll!B22:B36,"PA")</f>
        <v>0</v>
      </c>
      <c r="E6" s="16">
        <f>COUNTIF(Prüfprotokoll!F22:F36,TRUE)</f>
        <v>0</v>
      </c>
      <c r="F6" s="16">
        <f>COUNTIF(Prüfprotokoll!G22:G36,TRUE)</f>
        <v>0</v>
      </c>
      <c r="G6" s="16">
        <f>COUNTIF(Prüfprotokoll!H22:H36,TRUE)</f>
        <v>0</v>
      </c>
      <c r="H6" s="16">
        <f>COUNTIF(Prüfprotokoll!I22:I36,"offen")</f>
        <v>0</v>
      </c>
      <c r="I6" s="16">
        <f>COUNTIF(Prüfprotokoll!I22:I36,"mehrfach!")</f>
        <v>0</v>
      </c>
    </row>
    <row r="7" spans="2:9">
      <c r="B7" s="10" t="s">
        <v>116</v>
      </c>
      <c r="C7" s="16">
        <f>COUNTIF(Prüfprotokoll!B38:B44,"TIP S1")</f>
        <v>0</v>
      </c>
      <c r="D7" s="16">
        <f>COUNTIF(Prüfprotokoll!B38:B44,"PA")</f>
        <v>0</v>
      </c>
      <c r="E7" s="16">
        <f>COUNTIF(Prüfprotokoll!F38:F44,TRUE)</f>
        <v>0</v>
      </c>
      <c r="F7" s="16">
        <f>COUNTIF(Prüfprotokoll!G38:G44,TRUE)</f>
        <v>0</v>
      </c>
      <c r="G7" s="16">
        <f>COUNTIF(Prüfprotokoll!H38:H44,TRUE)</f>
        <v>0</v>
      </c>
      <c r="H7" s="16">
        <f>COUNTIF(Prüfprotokoll!I38:I44,"offen")</f>
        <v>0</v>
      </c>
      <c r="I7" s="16">
        <f>COUNTIF(Prüfprotokoll!I38:I44,"mehrfach!")</f>
        <v>0</v>
      </c>
    </row>
    <row r="8" spans="2:9">
      <c r="B8" s="10" t="s">
        <v>130</v>
      </c>
      <c r="C8" s="16">
        <f>COUNTIF(Prüfprotokoll!B46:B66,"TIP S1")</f>
        <v>0</v>
      </c>
      <c r="D8" s="16">
        <f>COUNTIF(Prüfprotokoll!B46:B66,"PA")</f>
        <v>0</v>
      </c>
      <c r="E8" s="16">
        <f>COUNTIF(Prüfprotokoll!F46:F66,TRUE)</f>
        <v>0</v>
      </c>
      <c r="F8" s="16">
        <f>COUNTIF(Prüfprotokoll!G46:G66,TRUE)</f>
        <v>0</v>
      </c>
      <c r="G8" s="16">
        <f>COUNTIF(Prüfprotokoll!H46:H66,TRUE)</f>
        <v>0</v>
      </c>
      <c r="H8" s="16">
        <f>COUNTIF(Prüfprotokoll!I46:I66,"offen")</f>
        <v>0</v>
      </c>
      <c r="I8" s="16">
        <f>COUNTIF(Prüfprotokoll!I46:I66,"mehrfach!")</f>
        <v>0</v>
      </c>
    </row>
    <row r="9" spans="2:9">
      <c r="B9" s="10" t="s">
        <v>176</v>
      </c>
      <c r="C9" s="16">
        <f>COUNTIF(Prüfprotokoll!B68:B86,"TIP S1")</f>
        <v>0</v>
      </c>
      <c r="D9" s="16">
        <f>COUNTIF(Prüfprotokoll!B68:B86,"PA")</f>
        <v>0</v>
      </c>
      <c r="E9" s="16">
        <f>COUNTIF(Prüfprotokoll!F68:F86,TRUE)</f>
        <v>0</v>
      </c>
      <c r="F9" s="16">
        <f>COUNTIF(Prüfprotokoll!G68:G86,TRUE)</f>
        <v>0</v>
      </c>
      <c r="G9" s="16">
        <f>COUNTIF(Prüfprotokoll!H68:H86,TRUE)</f>
        <v>0</v>
      </c>
      <c r="H9" s="16">
        <f>COUNTIF(Prüfprotokoll!I68:I86,"offen")</f>
        <v>0</v>
      </c>
      <c r="I9" s="16">
        <f>COUNTIF(Prüfprotokoll!I68:I86,"mehrfach!")</f>
        <v>0</v>
      </c>
    </row>
    <row r="10" spans="2:9">
      <c r="B10" s="6" t="s">
        <v>219</v>
      </c>
      <c r="C10" s="20">
        <f>SUM(C5:C9)</f>
        <v>0</v>
      </c>
      <c r="D10" s="20">
        <f>SUM(D5:D9)</f>
        <v>0</v>
      </c>
      <c r="E10" s="20">
        <f>SUM(E5:E9)</f>
        <v>0</v>
      </c>
      <c r="F10" s="20">
        <f>SUM(F5:F9)</f>
        <v>0</v>
      </c>
      <c r="G10" s="20">
        <f>SUM(G5:G9)</f>
        <v>0</v>
      </c>
      <c r="H10" s="20">
        <f>SUM(H5:H9)</f>
        <v>0</v>
      </c>
      <c r="I10" s="20">
        <f>SUM(I5:I9)</f>
        <v>0</v>
      </c>
    </row>
    <row r="12" spans="2:9">
      <c r="B12" s="21" t="s">
        <v>220</v>
      </c>
      <c r="C12" s="16">
        <f>COUNTIFS(Prüfprotokoll!B5:B86,"TIP S1",Prüfprotokoll!G5:G86,TRUE)</f>
        <v>0</v>
      </c>
    </row>
    <row r="13" spans="2:9">
      <c r="B13" s="21" t="s">
        <v>221</v>
      </c>
      <c r="C13" s="16">
        <f>COUNTIFS(Prüfprotokoll!B5:B86,"PA",Prüfprotokoll!G5:G86,TRUE)</f>
        <v>0</v>
      </c>
    </row>
    <row r="15" spans="2:9">
      <c r="B15" s="23" t="s">
        <v>222</v>
      </c>
      <c r="C15" s="23"/>
      <c r="D15" s="23"/>
      <c r="E15" s="23"/>
      <c r="F15" s="23"/>
      <c r="G15" s="23"/>
      <c r="H15" s="23"/>
      <c r="I15" s="23"/>
    </row>
    <row r="16" spans="2:9">
      <c r="B16" s="6" t="s">
        <v>223</v>
      </c>
      <c r="C16" s="30">
        <f>IF(AND(H10=0,I10=0),"Ja – alle Fragen beantwortet","Nein – "&amp;H10&amp;" offen, "&amp;I10&amp;" mehrfach angehakt")</f>
        <v>0</v>
      </c>
      <c r="D16" s="26"/>
      <c r="E16" s="26"/>
      <c r="F16" s="26"/>
      <c r="G16" s="26"/>
      <c r="H16" s="26"/>
      <c r="I16" s="26"/>
    </row>
    <row r="18" spans="2:9">
      <c r="B18" s="23" t="s">
        <v>224</v>
      </c>
      <c r="C18" s="23"/>
      <c r="D18" s="23"/>
      <c r="E18" s="23"/>
      <c r="F18" s="23"/>
      <c r="G18" s="23"/>
      <c r="H18" s="23"/>
      <c r="I18" s="23"/>
    </row>
    <row r="19" spans="2:9">
      <c r="B19" s="6" t="s">
        <v>225</v>
      </c>
      <c r="C19" s="6" t="s">
        <v>226</v>
      </c>
      <c r="D19" s="6" t="s">
        <v>39</v>
      </c>
      <c r="E19" s="31" t="s">
        <v>227</v>
      </c>
      <c r="F19" s="31"/>
      <c r="G19" s="31" t="s">
        <v>228</v>
      </c>
      <c r="H19" s="31"/>
      <c r="I19" s="6" t="s">
        <v>229</v>
      </c>
    </row>
    <row r="20" spans="2:9">
      <c r="B20" s="10"/>
      <c r="C20" s="10"/>
      <c r="D20" s="10"/>
      <c r="E20" s="26"/>
      <c r="F20" s="26"/>
      <c r="G20" s="26"/>
      <c r="H20" s="26"/>
      <c r="I20" s="22" t="b">
        <v>0</v>
      </c>
    </row>
    <row r="21" spans="2:9">
      <c r="B21" s="10"/>
      <c r="C21" s="10"/>
      <c r="D21" s="10"/>
      <c r="E21" s="26"/>
      <c r="F21" s="26"/>
      <c r="G21" s="26"/>
      <c r="H21" s="26"/>
      <c r="I21" s="22" t="b">
        <v>0</v>
      </c>
    </row>
    <row r="22" spans="2:9">
      <c r="B22" s="10"/>
      <c r="C22" s="10"/>
      <c r="D22" s="10"/>
      <c r="E22" s="26"/>
      <c r="F22" s="26"/>
      <c r="G22" s="26"/>
      <c r="H22" s="26"/>
      <c r="I22" s="22" t="b">
        <v>0</v>
      </c>
    </row>
    <row r="23" spans="2:9">
      <c r="B23" s="10"/>
      <c r="C23" s="10"/>
      <c r="D23" s="10"/>
      <c r="E23" s="26"/>
      <c r="F23" s="26"/>
      <c r="G23" s="26"/>
      <c r="H23" s="26"/>
      <c r="I23" s="22" t="b">
        <v>0</v>
      </c>
    </row>
    <row r="24" spans="2:9">
      <c r="B24" s="10"/>
      <c r="C24" s="10"/>
      <c r="D24" s="10"/>
      <c r="E24" s="26"/>
      <c r="F24" s="26"/>
      <c r="G24" s="26"/>
      <c r="H24" s="26"/>
      <c r="I24" s="22" t="b">
        <v>0</v>
      </c>
    </row>
    <row r="25" spans="2:9">
      <c r="B25" s="10"/>
      <c r="C25" s="10"/>
      <c r="D25" s="10"/>
      <c r="E25" s="26"/>
      <c r="F25" s="26"/>
      <c r="G25" s="26"/>
      <c r="H25" s="26"/>
      <c r="I25" s="22" t="b">
        <v>0</v>
      </c>
    </row>
    <row r="26" spans="2:9">
      <c r="B26" s="10"/>
      <c r="C26" s="10"/>
      <c r="D26" s="10"/>
      <c r="E26" s="26"/>
      <c r="F26" s="26"/>
      <c r="G26" s="26"/>
      <c r="H26" s="26"/>
      <c r="I26" s="22" t="b">
        <v>0</v>
      </c>
    </row>
    <row r="27" spans="2:9">
      <c r="B27" s="10"/>
      <c r="C27" s="10"/>
      <c r="D27" s="10"/>
      <c r="E27" s="26"/>
      <c r="F27" s="26"/>
      <c r="G27" s="26"/>
      <c r="H27" s="26"/>
      <c r="I27" s="22" t="b">
        <v>0</v>
      </c>
    </row>
    <row r="28" spans="2:9">
      <c r="B28" s="10"/>
      <c r="C28" s="10"/>
      <c r="D28" s="10"/>
      <c r="E28" s="26"/>
      <c r="F28" s="26"/>
      <c r="G28" s="26"/>
      <c r="H28" s="26"/>
      <c r="I28" s="22" t="b">
        <v>0</v>
      </c>
    </row>
    <row r="29" spans="2:9">
      <c r="B29" s="10"/>
      <c r="C29" s="10"/>
      <c r="D29" s="10"/>
      <c r="E29" s="26"/>
      <c r="F29" s="26"/>
      <c r="G29" s="26"/>
      <c r="H29" s="26"/>
      <c r="I29" s="22" t="b">
        <v>0</v>
      </c>
    </row>
    <row r="31" spans="2:9">
      <c r="B31" s="23" t="s">
        <v>230</v>
      </c>
      <c r="C31" s="23"/>
      <c r="D31" s="23"/>
      <c r="E31" s="23"/>
      <c r="F31" s="23"/>
      <c r="G31" s="23"/>
      <c r="H31" s="23"/>
      <c r="I31" s="23"/>
    </row>
    <row r="32" spans="2:9">
      <c r="B32" s="6"/>
      <c r="C32" s="31" t="s">
        <v>12</v>
      </c>
      <c r="D32" s="31"/>
      <c r="E32" s="31"/>
      <c r="F32" s="31"/>
      <c r="G32" s="31" t="s">
        <v>231</v>
      </c>
      <c r="H32" s="31"/>
      <c r="I32" s="31"/>
    </row>
    <row r="33" spans="2:9" ht="26.1" customHeight="1">
      <c r="B33" s="6" t="s">
        <v>232</v>
      </c>
      <c r="C33" s="24"/>
      <c r="D33" s="24"/>
      <c r="E33" s="24"/>
      <c r="F33" s="24"/>
      <c r="G33" s="24"/>
      <c r="H33" s="24"/>
      <c r="I33" s="24"/>
    </row>
    <row r="34" spans="2:9" ht="26.1" customHeight="1">
      <c r="B34" s="6" t="s">
        <v>233</v>
      </c>
      <c r="C34" s="24"/>
      <c r="D34" s="24"/>
      <c r="E34" s="24"/>
      <c r="F34" s="24"/>
      <c r="G34" s="24"/>
      <c r="H34" s="24"/>
      <c r="I34" s="24"/>
    </row>
    <row r="35" spans="2:9" ht="26.1" customHeight="1">
      <c r="B35" s="6" t="s">
        <v>13</v>
      </c>
      <c r="C35" s="24"/>
      <c r="D35" s="24"/>
      <c r="E35" s="24"/>
      <c r="F35" s="24"/>
      <c r="G35" s="24"/>
      <c r="H35" s="24"/>
      <c r="I35" s="24"/>
    </row>
    <row r="36" spans="2:9" ht="26.1" customHeight="1">
      <c r="B36" s="6" t="s">
        <v>234</v>
      </c>
      <c r="C36" s="24"/>
      <c r="D36" s="24"/>
      <c r="E36" s="24"/>
      <c r="F36" s="24"/>
      <c r="G36" s="24"/>
      <c r="H36" s="24"/>
      <c r="I36" s="24"/>
    </row>
  </sheetData>
  <mergeCells count="36">
    <mergeCell ref="C36:F36"/>
    <mergeCell ref="G36:I36"/>
    <mergeCell ref="C33:F33"/>
    <mergeCell ref="G33:I33"/>
    <mergeCell ref="C34:F34"/>
    <mergeCell ref="G34:I34"/>
    <mergeCell ref="C35:F35"/>
    <mergeCell ref="G35:I35"/>
    <mergeCell ref="E29:F29"/>
    <mergeCell ref="G29:H29"/>
    <mergeCell ref="B31:I31"/>
    <mergeCell ref="C32:F32"/>
    <mergeCell ref="G32:I32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B15:I15"/>
    <mergeCell ref="C16:I16"/>
    <mergeCell ref="B18:I18"/>
    <mergeCell ref="E19:F19"/>
    <mergeCell ref="G19:H19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Stellwerkskern – TIP S1 – Software Stellwerkskern</dc:title>
  <dc:subject/>
  <dc:creator>Hitachi Rail – Interne Abnahmeprüfung</dc:creator>
  <cp:keywords/>
  <dc:description/>
  <cp:lastModifiedBy>KINDT Christian</cp:lastModifiedBy>
  <cp:revision/>
  <dcterms:created xsi:type="dcterms:W3CDTF">2026-10-08T15:29:09Z</dcterms:created>
  <dcterms:modified xsi:type="dcterms:W3CDTF">2026-10-09T07:13:29Z</dcterms:modified>
  <cp:category/>
  <cp:contentStatus/>
</cp:coreProperties>
</file>