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xr:revisionPtr revIDLastSave="0" documentId="11_BA1089B3FAE7F97DF22616EDF667B8094508CD4B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Deckblatt" sheetId="1" r:id="rId1"/>
    <sheet name="Änderungen" sheetId="2" r:id="rId2"/>
    <sheet name="Kap 2-4 Freigaben+Pläne" sheetId="3" r:id="rId3"/>
    <sheet name="Kap 5 Prüfprotokolle" sheetId="4" r:id="rId4"/>
    <sheet name="Anhang A" sheetId="5" r:id="rId5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5" l="1"/>
  <c r="J16" i="4"/>
  <c r="J15" i="4"/>
  <c r="J14" i="4"/>
  <c r="J13" i="4"/>
  <c r="J12" i="4"/>
  <c r="J11" i="4"/>
  <c r="J10" i="4"/>
  <c r="J9" i="4"/>
  <c r="B3" i="4"/>
  <c r="B3" i="3"/>
  <c r="B3" i="2"/>
  <c r="E43" i="1"/>
  <c r="C43" i="1"/>
  <c r="E42" i="1"/>
  <c r="C42" i="1"/>
  <c r="E41" i="1"/>
  <c r="C41" i="1"/>
  <c r="E40" i="1"/>
  <c r="C40" i="1"/>
  <c r="E39" i="1"/>
  <c r="C39" i="1"/>
  <c r="E38" i="1"/>
  <c r="C38" i="1"/>
</calcChain>
</file>

<file path=xl/sharedStrings.xml><?xml version="1.0" encoding="utf-8"?>
<sst xmlns="http://schemas.openxmlformats.org/spreadsheetml/2006/main" count="144" uniqueCount="122">
  <si>
    <t>Hitachi Rail</t>
  </si>
  <si>
    <t>Thalesplatz 1 · 71254 Ditzingen · Germany · www.hitachirail.com</t>
  </si>
  <si>
    <t>Interne Abnahmeprüfung (FFT) · ITC</t>
  </si>
  <si>
    <t>TIP Software – Manteldokument</t>
  </si>
  <si>
    <t>Softwareprüfung ESTW L90 · Domestic · DB InfraGO</t>
  </si>
  <si>
    <t>Projektdaten (gelbe Felder ausfüllen – werden auf allen Blättern übernommen)</t>
  </si>
  <si>
    <t>Projekt</t>
  </si>
  <si>
    <t>Kunde</t>
  </si>
  <si>
    <t>DB InfraGO</t>
  </si>
  <si>
    <t>Vertrag (PSP)</t>
  </si>
  <si>
    <t>Stellwerk (Ril100)</t>
  </si>
  <si>
    <t>Bauzustand / AZ-Nr.</t>
  </si>
  <si>
    <t>Dokumentausgabe</t>
  </si>
  <si>
    <t>01P01</t>
  </si>
  <si>
    <t>Ergebnis des Test Instruction Protokolls</t>
  </si>
  <si>
    <t>FFT Softwareprüfung: Alle vorgegebenen Prüfschritte aus dem Test Instruction Protokoll wurden durchgeführt.</t>
  </si>
  <si>
    <t>Ja</t>
  </si>
  <si>
    <t>Nein</t>
  </si>
  <si>
    <t>Bemerkungen (falls notwendig)</t>
  </si>
  <si>
    <t>Ausführender – Prüfer</t>
  </si>
  <si>
    <t>Datum, Unterschrift</t>
  </si>
  <si>
    <t>Name (Druckbuchstaben)</t>
  </si>
  <si>
    <t>Ausführender</t>
  </si>
  <si>
    <t>Wenn alle Dokumente im Anhang einzeln unterschrieben sind, kann die Gesamtsignatur hier entfallen.</t>
  </si>
  <si>
    <t>Freigebender (kontrollierende Stelle)</t>
  </si>
  <si>
    <t>Richtige Prüffragen benutzt.</t>
  </si>
  <si>
    <t>TIPs komplett ausgefüllt.</t>
  </si>
  <si>
    <t>Stichprobenkontrolle gemacht.</t>
  </si>
  <si>
    <t>Kontrollierende Stelle – Freigebender</t>
  </si>
  <si>
    <t>Kontrollierende Stelle</t>
  </si>
  <si>
    <t>Vollständigkeitskontrolle (automatisch)</t>
  </si>
  <si>
    <t>Systemfreigaben geprüft (Kap. 2)</t>
  </si>
  <si>
    <t>PT1-Stände eingetragen (Kap. 3)</t>
  </si>
  <si>
    <t>PT2-Stände eingetragen (Kap. 4)</t>
  </si>
  <si>
    <t>Prüfprotokolle vollständig / n. z. (Kap. 5)</t>
  </si>
  <si>
    <t>Freigebender: Prüfpunkte abgehakt</t>
  </si>
  <si>
    <t>Gesamtstatus</t>
  </si>
  <si>
    <t>Änderungen</t>
  </si>
  <si>
    <t>Spezifisches Template</t>
  </si>
  <si>
    <t>Ausgabe</t>
  </si>
  <si>
    <t>Datum</t>
  </si>
  <si>
    <t>Autor</t>
  </si>
  <si>
    <t>Änderung</t>
  </si>
  <si>
    <t>01</t>
  </si>
  <si>
    <t>10.09.2026</t>
  </si>
  <si>
    <t>Max Krech</t>
  </si>
  <si>
    <t>Erstellung des Templates TIP Software</t>
  </si>
  <si>
    <t>02</t>
  </si>
  <si>
    <t>08.10.2026</t>
  </si>
  <si>
    <t>Neues Layout; Verweis auf die Excel-Prüfprotokolle S1–S6</t>
  </si>
  <si>
    <t>Dokument</t>
  </si>
  <si>
    <t>Ersterstellung</t>
  </si>
  <si>
    <t>Systemfreigaben und Planungsstände</t>
  </si>
  <si>
    <t>2  Systemfreigaben</t>
  </si>
  <si>
    <t>Für folgende Produkte wurde überprüft, dass die Systemfreigabe und DB-Zulassung vorliegt:</t>
  </si>
  <si>
    <t>Teilsystem</t>
  </si>
  <si>
    <t>Version</t>
  </si>
  <si>
    <t>Freigabe</t>
  </si>
  <si>
    <t>DB-Zulassung</t>
  </si>
  <si>
    <t>geprüft</t>
  </si>
  <si>
    <t>LBS</t>
  </si>
  <si>
    <t>MEM</t>
  </si>
  <si>
    <t>SM</t>
  </si>
  <si>
    <t>EAM</t>
  </si>
  <si>
    <t>AzLM</t>
  </si>
  <si>
    <t>Auflagen, Vorbehalte, Nebenbestimmungen und SAV aus den Freigaben gesondert listen und ggf. auflösen.</t>
  </si>
  <si>
    <t>3  Planungsstand PT1</t>
  </si>
  <si>
    <t>Den Prüfungen liegen folgende PT1-Versionen zu Grunde:</t>
  </si>
  <si>
    <t>Standort (Ril100)</t>
  </si>
  <si>
    <t>PT1-Teil</t>
  </si>
  <si>
    <t>Bezeichnung</t>
  </si>
  <si>
    <t>Datum Planverzeichnis</t>
  </si>
  <si>
    <t>3.1  Ablageort Prüfnachweis</t>
  </si>
  <si>
    <t>Die Einzelnachweise der Prüfungen werden in Form des Abhakens der einzelnen Anforderungen innerhalb der PT1-Unterlagen vorgenommen. Hier ist der Ablageort anzugeben.</t>
  </si>
  <si>
    <t>Ablageort</t>
  </si>
  <si>
    <t>4  Planungsstand PT2</t>
  </si>
  <si>
    <t>Den Prüfungen liegen folgende PT2-Versionen zu Grunde:</t>
  </si>
  <si>
    <t>PT2</t>
  </si>
  <si>
    <t>SWE</t>
  </si>
  <si>
    <t>SWET</t>
  </si>
  <si>
    <t>SWL</t>
  </si>
  <si>
    <t>5  Übersicht Prüfprotokolle</t>
  </si>
  <si>
    <t>Der Anhang besteht aus folgenden Seiten. „Ergebnis“ = Gesamtergebnis des jeweiligen Prüfprotokolls (Blatt „Ergebnis“): Ja = alle Prüfschritte durchgeführt; n. z. = TIP im Projekt nicht relevant.</t>
  </si>
  <si>
    <t>Ergebnis</t>
  </si>
  <si>
    <t>Dokumentbezeichnung</t>
  </si>
  <si>
    <t>Excel-Prüfprotokoll (Datei)</t>
  </si>
  <si>
    <t>Dok.-Nr.</t>
  </si>
  <si>
    <t>Edition</t>
  </si>
  <si>
    <t>n. z.</t>
  </si>
  <si>
    <t>beigefügt</t>
  </si>
  <si>
    <t>Status</t>
  </si>
  <si>
    <t>TIP S1 – Software Stellwerkskern</t>
  </si>
  <si>
    <t>Pruefprotokoll_Stellwerkskern_TIP-S1_L90.xlsx</t>
  </si>
  <si>
    <t>TIP S2 – Software Fahrstraßenoberfläche</t>
  </si>
  <si>
    <t>Pruefprotokoll_Fahrstrassenoberflaeche_TIP-S2_L90.xlsx</t>
  </si>
  <si>
    <t>TIP S3 – Software Bedienoberfläche</t>
  </si>
  <si>
    <t>Pruefprotokoll_Bedienoberflaeche_TIP-S3_Styleguide_L90.xlsx</t>
  </si>
  <si>
    <t>TIP S4 – Software AzLM</t>
  </si>
  <si>
    <t>Pruefprotokoll_AzLM_TIP-S4_L90.xlsx</t>
  </si>
  <si>
    <t>TIP S5 – Software DCA</t>
  </si>
  <si>
    <t>Pruefprotokoll_DCA_TIP-S5_L90.xlsx</t>
  </si>
  <si>
    <t>TIP S6 – Software RBC</t>
  </si>
  <si>
    <t>Pruefprotokoll_RBC_TIP-S6_L90.xlsx</t>
  </si>
  <si>
    <t>Nachweis der Prüfung gegen PT1</t>
  </si>
  <si>
    <t>– (Anhang A.1)</t>
  </si>
  <si>
    <t>–</t>
  </si>
  <si>
    <t>Nachweis der Prüfung der Differenzen</t>
  </si>
  <si>
    <t>– (Anhang A.2, nur Bauzustand)</t>
  </si>
  <si>
    <t>Nachweis der Differenzen: bei Neuanlage „n. z.“ anhaken. TIP S4 ohne AzLM sowie S5/S6 ohne DCA/RBC: „n. z.“.</t>
  </si>
  <si>
    <t>Anhang A</t>
  </si>
  <si>
    <t>A.1  Nachweis der Prüfung gegen PT1</t>
  </si>
  <si>
    <t>Abgehakte PT1-Unterlagen einfügen bzw. Verweis auf den Ablageort (Kap. 3.1).</t>
  </si>
  <si>
    <t>Nr.</t>
  </si>
  <si>
    <t>PT1-Unterlage / Tabelle</t>
  </si>
  <si>
    <t>Seiten</t>
  </si>
  <si>
    <t>Ablage</t>
  </si>
  <si>
    <t>eingefügt</t>
  </si>
  <si>
    <t>A.2  Nachweis der Prüfung der Differenzen</t>
  </si>
  <si>
    <t>Abgehakte Differenzen einfügen (ISA-/UDM-Differenz-Report, ESTW-Differenzen MEM/SM/AzLM, ZX-Differenzen, Konfigurationsdaten, BerÜ/Lupen-Vergleich). Die Liste der geprüften Dateien ist zu unterschreiben.</t>
  </si>
  <si>
    <t>Differenzdatei / Report</t>
  </si>
  <si>
    <t>Version alt → neu</t>
  </si>
  <si>
    <t>Prüfer – Liste der geprüften Differenzen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</si>
</sst>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2"/>
      <color rgb="FF2E75B6"/>
      <name val="Arial"/>
      <family val="2"/>
    </font>
    <font>
      <sz val="9"/>
      <color rgb="FF595959"/>
      <name val="Arial"/>
      <family val="2"/>
    </font>
    <font>
      <b/>
      <sz val="18"/>
      <color rgb="FF1F3864"/>
      <name val="Arial"/>
      <family val="2"/>
    </font>
    <font>
      <sz val="11"/>
      <color rgb="FF2E75B6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i/>
      <sz val="9"/>
      <color rgb="FF595959"/>
      <name val="Arial"/>
      <family val="2"/>
    </font>
    <font>
      <b/>
      <sz val="11"/>
      <color rgb="FF2E75B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DF1E7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0" fontId="9" fillId="0" borderId="0" xfId="0" applyFont="1" applyAlignment="1">
      <alignment vertical="top"/>
    </xf>
    <xf numFmtId="0" fontId="6" fillId="4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8" fillId="0" borderId="0" xfId="0" applyFont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</cellXfs>
  <cellStyles count="1">
    <cellStyle name="Standard" xfId="0" builtinId="0"/>
  </cellStyles>
  <dxfs count="7"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43"/>
  <sheetViews>
    <sheetView tabSelected="1" workbookViewId="0"/>
  </sheetViews>
  <sheetFormatPr defaultRowHeight="15"/>
  <cols>
    <col min="1" max="1" width="2.7109375" customWidth="1"/>
    <col min="2" max="2" width="30.7109375" customWidth="1"/>
    <col min="3" max="5" width="22.7109375" customWidth="1"/>
    <col min="6" max="6" width="14.7109375" customWidth="1"/>
  </cols>
  <sheetData>
    <row r="2" spans="2:6">
      <c r="B2" s="1" t="s">
        <v>0</v>
      </c>
    </row>
    <row r="3" spans="2:6">
      <c r="B3" s="2" t="s">
        <v>1</v>
      </c>
    </row>
    <row r="4" spans="2:6">
      <c r="B4" s="2" t="s">
        <v>2</v>
      </c>
    </row>
    <row r="6" spans="2:6">
      <c r="B6" s="3" t="s">
        <v>3</v>
      </c>
    </row>
    <row r="7" spans="2:6">
      <c r="B7" s="4" t="s">
        <v>4</v>
      </c>
    </row>
    <row r="9" spans="2:6">
      <c r="B9" s="16" t="s">
        <v>5</v>
      </c>
      <c r="C9" s="16"/>
      <c r="D9" s="16"/>
      <c r="E9" s="16"/>
      <c r="F9" s="16"/>
    </row>
    <row r="10" spans="2:6">
      <c r="B10" s="6" t="s">
        <v>6</v>
      </c>
      <c r="C10" s="17"/>
      <c r="D10" s="17"/>
      <c r="E10" s="17"/>
      <c r="F10" s="17"/>
    </row>
    <row r="11" spans="2:6">
      <c r="B11" s="6" t="s">
        <v>7</v>
      </c>
      <c r="C11" s="17" t="s">
        <v>8</v>
      </c>
      <c r="D11" s="17"/>
      <c r="E11" s="17"/>
      <c r="F11" s="17"/>
    </row>
    <row r="12" spans="2:6">
      <c r="B12" s="6" t="s">
        <v>9</v>
      </c>
      <c r="C12" s="17"/>
      <c r="D12" s="17"/>
      <c r="E12" s="17"/>
      <c r="F12" s="17"/>
    </row>
    <row r="13" spans="2:6">
      <c r="B13" s="6" t="s">
        <v>10</v>
      </c>
      <c r="C13" s="17"/>
      <c r="D13" s="17"/>
      <c r="E13" s="17"/>
      <c r="F13" s="17"/>
    </row>
    <row r="14" spans="2:6">
      <c r="B14" s="6" t="s">
        <v>11</v>
      </c>
      <c r="C14" s="17"/>
      <c r="D14" s="17"/>
      <c r="E14" s="17"/>
      <c r="F14" s="17"/>
    </row>
    <row r="15" spans="2:6">
      <c r="B15" s="6" t="s">
        <v>12</v>
      </c>
      <c r="C15" s="17" t="s">
        <v>13</v>
      </c>
      <c r="D15" s="17"/>
      <c r="E15" s="17"/>
      <c r="F15" s="17"/>
    </row>
    <row r="17" spans="2:6">
      <c r="B17" s="16" t="s">
        <v>14</v>
      </c>
      <c r="C17" s="16"/>
      <c r="D17" s="16"/>
      <c r="E17" s="16"/>
      <c r="F17" s="16"/>
    </row>
    <row r="18" spans="2:6" ht="30" customHeight="1">
      <c r="B18" s="18" t="s">
        <v>15</v>
      </c>
      <c r="C18" s="18"/>
      <c r="D18" s="18"/>
      <c r="E18" s="9" t="s">
        <v>16</v>
      </c>
      <c r="F18" s="9" t="s">
        <v>17</v>
      </c>
    </row>
    <row r="19" spans="2:6">
      <c r="B19" s="18"/>
      <c r="C19" s="18"/>
      <c r="D19" s="18"/>
      <c r="E19" s="10" t="b">
        <v>0</v>
      </c>
      <c r="F19" s="10" t="b">
        <v>0</v>
      </c>
    </row>
    <row r="20" spans="2:6" ht="39.950000000000003" customHeight="1">
      <c r="B20" s="6" t="s">
        <v>18</v>
      </c>
      <c r="C20" s="17"/>
      <c r="D20" s="17"/>
      <c r="E20" s="17"/>
      <c r="F20" s="17"/>
    </row>
    <row r="22" spans="2:6">
      <c r="B22" s="16" t="s">
        <v>19</v>
      </c>
      <c r="C22" s="16"/>
      <c r="D22" s="16"/>
      <c r="E22" s="16"/>
      <c r="F22" s="16"/>
    </row>
    <row r="23" spans="2:6">
      <c r="B23" s="6"/>
      <c r="C23" s="19" t="s">
        <v>20</v>
      </c>
      <c r="D23" s="19"/>
      <c r="E23" s="19" t="s">
        <v>21</v>
      </c>
      <c r="F23" s="19"/>
    </row>
    <row r="24" spans="2:6" ht="33.950000000000003" customHeight="1">
      <c r="B24" s="6" t="s">
        <v>22</v>
      </c>
      <c r="C24" s="17"/>
      <c r="D24" s="17"/>
      <c r="E24" s="17"/>
      <c r="F24" s="17"/>
    </row>
    <row r="25" spans="2:6">
      <c r="B25" s="20" t="s">
        <v>23</v>
      </c>
      <c r="C25" s="20"/>
      <c r="D25" s="20"/>
      <c r="E25" s="20"/>
      <c r="F25" s="20"/>
    </row>
    <row r="27" spans="2:6">
      <c r="B27" s="16" t="s">
        <v>24</v>
      </c>
      <c r="C27" s="16"/>
      <c r="D27" s="16"/>
      <c r="E27" s="16"/>
      <c r="F27" s="16"/>
    </row>
    <row r="28" spans="2:6">
      <c r="B28" s="10" t="b">
        <v>0</v>
      </c>
      <c r="C28" s="18" t="s">
        <v>25</v>
      </c>
      <c r="D28" s="18"/>
      <c r="E28" s="18"/>
      <c r="F28" s="18"/>
    </row>
    <row r="29" spans="2:6">
      <c r="B29" s="10" t="b">
        <v>0</v>
      </c>
      <c r="C29" s="18" t="s">
        <v>26</v>
      </c>
      <c r="D29" s="18"/>
      <c r="E29" s="18"/>
      <c r="F29" s="18"/>
    </row>
    <row r="30" spans="2:6">
      <c r="B30" s="10" t="b">
        <v>0</v>
      </c>
      <c r="C30" s="18" t="s">
        <v>27</v>
      </c>
      <c r="D30" s="18"/>
      <c r="E30" s="18"/>
      <c r="F30" s="18"/>
    </row>
    <row r="31" spans="2:6" ht="39.950000000000003" customHeight="1">
      <c r="B31" s="6" t="s">
        <v>18</v>
      </c>
      <c r="C31" s="17"/>
      <c r="D31" s="17"/>
      <c r="E31" s="17"/>
      <c r="F31" s="17"/>
    </row>
    <row r="33" spans="2:6">
      <c r="B33" s="16" t="s">
        <v>28</v>
      </c>
      <c r="C33" s="16"/>
      <c r="D33" s="16"/>
      <c r="E33" s="16"/>
      <c r="F33" s="16"/>
    </row>
    <row r="34" spans="2:6">
      <c r="B34" s="6"/>
      <c r="C34" s="19" t="s">
        <v>20</v>
      </c>
      <c r="D34" s="19"/>
      <c r="E34" s="19" t="s">
        <v>21</v>
      </c>
      <c r="F34" s="19"/>
    </row>
    <row r="35" spans="2:6" ht="33.950000000000003" customHeight="1">
      <c r="B35" s="6" t="s">
        <v>29</v>
      </c>
      <c r="C35" s="17"/>
      <c r="D35" s="17"/>
      <c r="E35" s="17"/>
      <c r="F35" s="17"/>
    </row>
    <row r="37" spans="2:6">
      <c r="B37" s="16" t="s">
        <v>30</v>
      </c>
      <c r="C37" s="16"/>
      <c r="D37" s="16"/>
      <c r="E37" s="16"/>
      <c r="F37" s="16"/>
    </row>
    <row r="38" spans="2:6">
      <c r="B38" s="6" t="s">
        <v>31</v>
      </c>
      <c r="C38" s="18" t="str">
        <f>COUNTIF('Kap 2-4 Freigaben+Pläne'!F8:F16,TRUE)&amp;" von "&amp;COUNTA('Kap 2-4 Freigaben+Pläne'!B8:B16)&amp;" Teilsystemen"</f>
        <v/>
      </c>
      <c r="D38" s="18"/>
      <c r="E38" s="21" t="str">
        <f>IF(COUNTA('Kap 2-4 Freigaben+Pläne'!B8:B16)=0,"offen",IF(COUNTIF('Kap 2-4 Freigaben+Pläne'!F8:F16,TRUE)&gt;=COUNTA('Kap 2-4 Freigaben+Pläne'!B8:B16),"vollständig","offen"))</f>
        <v/>
      </c>
      <c r="F38" s="21"/>
    </row>
    <row r="39" spans="2:6">
      <c r="B39" s="6" t="s">
        <v>32</v>
      </c>
      <c r="C39" s="18" t="str">
        <f>COUNTA('Kap 2-4 Freigaben+Pläne'!C22:C29)&amp;" PT1-Teile eingetragen"</f>
        <v/>
      </c>
      <c r="D39" s="18"/>
      <c r="E39" s="21" t="str">
        <f>IF(COUNTA('Kap 2-4 Freigaben+Pläne'!C22:C29)&gt;0,"vollständig","offen")</f>
        <v/>
      </c>
      <c r="F39" s="21"/>
    </row>
    <row r="40" spans="2:6">
      <c r="B40" s="6" t="s">
        <v>33</v>
      </c>
      <c r="C40" s="18" t="str">
        <f>COUNTA('Kap 2-4 Freigaben+Pläne'!D46:D50)&amp;" von 3 (SWE, SWET, SWL) mit Bezeichnung"</f>
        <v/>
      </c>
      <c r="D40" s="18"/>
      <c r="E40" s="21" t="str">
        <f>IF(COUNTA('Kap 2-4 Freigaben+Pläne'!D46:D50)&gt;=3,"vollständig","offen")</f>
        <v/>
      </c>
      <c r="F40" s="21"/>
    </row>
    <row r="41" spans="2:6">
      <c r="B41" s="6" t="s">
        <v>34</v>
      </c>
      <c r="C41" s="18" t="str">
        <f>(COUNTIF('Kap 5 Prüfprotokolle'!J9:J16,"vollständig")+COUNTIF('Kap 5 Prüfprotokolle'!J9:J16,"n. z."))&amp;" von 8 erledigt, "&amp;COUNTIF('Kap 5 Prüfprotokolle'!J9:J16,"Nein!")&amp;" mit Nein"</f>
        <v/>
      </c>
      <c r="D41" s="18"/>
      <c r="E41" s="21" t="str">
        <f>IF(COUNTIF('Kap 5 Prüfprotokolle'!J9:J16,"Nein!")&gt;0,"Nein!",IF(COUNTIF('Kap 5 Prüfprotokolle'!J9:J16,"offen")&gt;0,"offen","vollständig"))</f>
        <v/>
      </c>
      <c r="F41" s="21"/>
    </row>
    <row r="42" spans="2:6">
      <c r="B42" s="6" t="s">
        <v>35</v>
      </c>
      <c r="C42" s="18" t="str">
        <f>COUNTIF(B28:B30,TRUE)&amp;" von 3"</f>
        <v/>
      </c>
      <c r="D42" s="18"/>
      <c r="E42" s="21" t="str">
        <f>IF(COUNTIF(B28:B30,TRUE)=3,"vollständig","offen")</f>
        <v/>
      </c>
      <c r="F42" s="21"/>
    </row>
    <row r="43" spans="2:6">
      <c r="B43" s="12" t="s">
        <v>36</v>
      </c>
      <c r="C43" s="18" t="str">
        <f>IF(AND(E19=TRUE,F19=FALSE),"Ergebnis: Ja angehakt",IF(F19=TRUE,"Ergebnis: Nein angehakt","Ergebnis noch nicht angehakt"))</f>
        <v/>
      </c>
      <c r="D43" s="18"/>
      <c r="E43" s="21" t="str">
        <f>IF(OR(E38="Nein!",E39="Nein!",E40="Nein!",E41="Nein!"),"Nein!",IF(AND(E38="vollständig",E39="vollständig",E40="vollständig",E41="vollständig",E42="vollständig"),"vollständig","offen"))</f>
        <v/>
      </c>
      <c r="F43" s="21"/>
    </row>
  </sheetData>
  <mergeCells count="40">
    <mergeCell ref="C43:D43"/>
    <mergeCell ref="E43:F43"/>
    <mergeCell ref="C40:D40"/>
    <mergeCell ref="E40:F40"/>
    <mergeCell ref="C41:D41"/>
    <mergeCell ref="E41:F41"/>
    <mergeCell ref="C42:D42"/>
    <mergeCell ref="E42:F42"/>
    <mergeCell ref="B37:F37"/>
    <mergeCell ref="C38:D38"/>
    <mergeCell ref="E38:F38"/>
    <mergeCell ref="C39:D39"/>
    <mergeCell ref="E39:F39"/>
    <mergeCell ref="C31:F31"/>
    <mergeCell ref="B33:F33"/>
    <mergeCell ref="C34:D34"/>
    <mergeCell ref="E34:F34"/>
    <mergeCell ref="C35:D35"/>
    <mergeCell ref="E35:F35"/>
    <mergeCell ref="B25:F25"/>
    <mergeCell ref="B27:F27"/>
    <mergeCell ref="C28:F28"/>
    <mergeCell ref="C29:F29"/>
    <mergeCell ref="C30:F30"/>
    <mergeCell ref="C20:F20"/>
    <mergeCell ref="B22:F22"/>
    <mergeCell ref="C23:D23"/>
    <mergeCell ref="E23:F23"/>
    <mergeCell ref="C24:D24"/>
    <mergeCell ref="E24:F24"/>
    <mergeCell ref="C14:F14"/>
    <mergeCell ref="C15:F15"/>
    <mergeCell ref="B17:F17"/>
    <mergeCell ref="B18:D18"/>
    <mergeCell ref="B19:D19"/>
    <mergeCell ref="B9:F9"/>
    <mergeCell ref="C10:F10"/>
    <mergeCell ref="C11:F11"/>
    <mergeCell ref="C12:F12"/>
    <mergeCell ref="C13:F13"/>
  </mergeCells>
  <conditionalFormatting sqref="E38:E43">
    <cfRule type="cellIs" dxfId="6" priority="1" operator="equal">
      <formula>"vollständig"</formula>
    </cfRule>
    <cfRule type="cellIs" dxfId="5" priority="2" operator="equal">
      <formula>"Nein!"</formula>
    </cfRule>
    <cfRule type="cellIs" dxfId="4" priority="3" operator="equal">
      <formula>"offen"</formula>
    </cfRule>
  </conditionalFormatting>
  <pageMargins left="0.5" right="0.5" top="0.7" bottom="0.7" header="0.3" footer="0.3"/>
  <pageSetup paperSize="9" orientation="portrait"/>
  <headerFooter>
    <oddHeader>&amp;L&amp;8Hitachi Rail · Interne Abnahmeprüfung&amp;R&amp;8TIP Software – Manteldokument</oddHeader>
    <oddFooter>&amp;L&amp;8Template Ausgabe 02&amp;R&amp;8Seite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E18"/>
  <sheetViews>
    <sheetView workbookViewId="0"/>
  </sheetViews>
  <sheetFormatPr defaultRowHeight="15"/>
  <cols>
    <col min="1" max="1" width="2.7109375" customWidth="1"/>
    <col min="2" max="2" width="16.7109375" customWidth="1"/>
    <col min="3" max="3" width="14.7109375" customWidth="1"/>
    <col min="4" max="4" width="22.7109375" customWidth="1"/>
    <col min="5" max="5" width="60.7109375" customWidth="1"/>
  </cols>
  <sheetData>
    <row r="2" spans="2:5">
      <c r="B2" s="3" t="s">
        <v>37</v>
      </c>
    </row>
    <row r="3" spans="2:5">
      <c r="B3" s="2" t="str">
        <f>"Projekt: "&amp;Deckblatt!$C$10&amp;"   ·   Stellwerk: "&amp;Deckblatt!$C$13&amp;"   ·   Bauzustand: "&amp;Deckblatt!$C$14</f>
        <v/>
      </c>
    </row>
    <row r="5" spans="2:5">
      <c r="B5" s="13" t="s">
        <v>38</v>
      </c>
    </row>
    <row r="6" spans="2:5">
      <c r="B6" s="5" t="s">
        <v>39</v>
      </c>
      <c r="C6" s="5" t="s">
        <v>40</v>
      </c>
      <c r="D6" s="5" t="s">
        <v>41</v>
      </c>
      <c r="E6" s="5" t="s">
        <v>42</v>
      </c>
    </row>
    <row r="7" spans="2:5">
      <c r="B7" s="8" t="s">
        <v>43</v>
      </c>
      <c r="C7" s="8" t="s">
        <v>44</v>
      </c>
      <c r="D7" s="8" t="s">
        <v>45</v>
      </c>
      <c r="E7" s="8" t="s">
        <v>46</v>
      </c>
    </row>
    <row r="8" spans="2:5">
      <c r="B8" s="8" t="s">
        <v>47</v>
      </c>
      <c r="C8" s="8" t="s">
        <v>48</v>
      </c>
      <c r="D8" s="8"/>
      <c r="E8" s="8" t="s">
        <v>49</v>
      </c>
    </row>
    <row r="10" spans="2:5">
      <c r="B10" s="13" t="s">
        <v>50</v>
      </c>
    </row>
    <row r="11" spans="2:5">
      <c r="B11" s="5" t="s">
        <v>39</v>
      </c>
      <c r="C11" s="5" t="s">
        <v>40</v>
      </c>
      <c r="D11" s="5" t="s">
        <v>41</v>
      </c>
      <c r="E11" s="5" t="s">
        <v>42</v>
      </c>
    </row>
    <row r="12" spans="2:5">
      <c r="B12" s="7" t="s">
        <v>13</v>
      </c>
      <c r="C12" s="7"/>
      <c r="D12" s="7"/>
      <c r="E12" s="7" t="s">
        <v>51</v>
      </c>
    </row>
    <row r="13" spans="2:5">
      <c r="B13" s="7"/>
      <c r="C13" s="7"/>
      <c r="D13" s="7"/>
      <c r="E13" s="7"/>
    </row>
    <row r="14" spans="2:5">
      <c r="B14" s="7"/>
      <c r="C14" s="7"/>
      <c r="D14" s="7"/>
      <c r="E14" s="7"/>
    </row>
    <row r="15" spans="2:5">
      <c r="B15" s="7"/>
      <c r="C15" s="7"/>
      <c r="D15" s="7"/>
      <c r="E15" s="7"/>
    </row>
    <row r="16" spans="2:5">
      <c r="B16" s="7"/>
      <c r="C16" s="7"/>
      <c r="D16" s="7"/>
      <c r="E16" s="7"/>
    </row>
    <row r="17" spans="2:5">
      <c r="B17" s="7"/>
      <c r="C17" s="7"/>
      <c r="D17" s="7"/>
      <c r="E17" s="7"/>
    </row>
    <row r="18" spans="2:5">
      <c r="B18" s="7"/>
      <c r="C18" s="7"/>
      <c r="D18" s="7"/>
      <c r="E18" s="7"/>
    </row>
  </sheetData>
  <pageMargins left="0.5" right="0.5" top="0.7" bottom="0.7" header="0.3" footer="0.3"/>
  <pageSetup paperSize="9" fitToHeight="0" orientation="portrait"/>
  <headerFooter>
    <oddHeader>&amp;L&amp;8Hitachi Rail · Interne Abnahmeprüfung&amp;R&amp;8TIP Software – Manteldokument</oddHeader>
    <oddFooter>&amp;L&amp;8Template Ausgabe 02&amp;R&amp;8Seite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F50"/>
  <sheetViews>
    <sheetView workbookViewId="0"/>
  </sheetViews>
  <sheetFormatPr defaultRowHeight="15"/>
  <cols>
    <col min="1" max="1" width="2.7109375" customWidth="1"/>
    <col min="2" max="2" width="22.7109375" customWidth="1"/>
    <col min="3" max="3" width="16.7109375" customWidth="1"/>
    <col min="4" max="4" width="30.7109375" customWidth="1"/>
    <col min="5" max="5" width="22.7109375" customWidth="1"/>
    <col min="6" max="6" width="10.7109375" customWidth="1"/>
  </cols>
  <sheetData>
    <row r="2" spans="2:6">
      <c r="B2" s="3" t="s">
        <v>52</v>
      </c>
    </row>
    <row r="3" spans="2:6">
      <c r="B3" s="2" t="str">
        <f>"Projekt: "&amp;Deckblatt!$C$10&amp;"   ·   Stellwerk: "&amp;Deckblatt!$C$13&amp;"   ·   Bauzustand: "&amp;Deckblatt!$C$14</f>
        <v/>
      </c>
    </row>
    <row r="5" spans="2:6">
      <c r="B5" s="13" t="s">
        <v>53</v>
      </c>
    </row>
    <row r="6" spans="2:6">
      <c r="B6" s="22" t="s">
        <v>54</v>
      </c>
      <c r="C6" s="22"/>
      <c r="D6" s="22"/>
      <c r="E6" s="22"/>
      <c r="F6" s="22"/>
    </row>
    <row r="7" spans="2:6">
      <c r="B7" s="5" t="s">
        <v>55</v>
      </c>
      <c r="C7" s="5" t="s">
        <v>56</v>
      </c>
      <c r="D7" s="5" t="s">
        <v>57</v>
      </c>
      <c r="E7" s="5" t="s">
        <v>58</v>
      </c>
      <c r="F7" s="5" t="s">
        <v>59</v>
      </c>
    </row>
    <row r="8" spans="2:6">
      <c r="B8" s="14" t="s">
        <v>60</v>
      </c>
      <c r="C8" s="7"/>
      <c r="D8" s="7"/>
      <c r="E8" s="7"/>
      <c r="F8" s="10" t="b">
        <v>0</v>
      </c>
    </row>
    <row r="9" spans="2:6">
      <c r="B9" s="14" t="s">
        <v>61</v>
      </c>
      <c r="C9" s="7"/>
      <c r="D9" s="7"/>
      <c r="E9" s="7"/>
      <c r="F9" s="10" t="b">
        <v>0</v>
      </c>
    </row>
    <row r="10" spans="2:6">
      <c r="B10" s="14" t="s">
        <v>62</v>
      </c>
      <c r="C10" s="7"/>
      <c r="D10" s="7"/>
      <c r="E10" s="7"/>
      <c r="F10" s="10" t="b">
        <v>0</v>
      </c>
    </row>
    <row r="11" spans="2:6">
      <c r="B11" s="14" t="s">
        <v>63</v>
      </c>
      <c r="C11" s="7"/>
      <c r="D11" s="7"/>
      <c r="E11" s="7"/>
      <c r="F11" s="10" t="b">
        <v>0</v>
      </c>
    </row>
    <row r="12" spans="2:6">
      <c r="B12" s="14" t="s">
        <v>64</v>
      </c>
      <c r="C12" s="7"/>
      <c r="D12" s="7"/>
      <c r="E12" s="7"/>
      <c r="F12" s="10" t="b">
        <v>0</v>
      </c>
    </row>
    <row r="13" spans="2:6">
      <c r="B13" s="14"/>
      <c r="C13" s="7"/>
      <c r="D13" s="7"/>
      <c r="E13" s="7"/>
      <c r="F13" s="10" t="b">
        <v>0</v>
      </c>
    </row>
    <row r="14" spans="2:6">
      <c r="B14" s="14"/>
      <c r="C14" s="7"/>
      <c r="D14" s="7"/>
      <c r="E14" s="7"/>
      <c r="F14" s="10" t="b">
        <v>0</v>
      </c>
    </row>
    <row r="15" spans="2:6">
      <c r="B15" s="14"/>
      <c r="C15" s="7"/>
      <c r="D15" s="7"/>
      <c r="E15" s="7"/>
      <c r="F15" s="10" t="b">
        <v>0</v>
      </c>
    </row>
    <row r="16" spans="2:6">
      <c r="B16" s="14"/>
      <c r="C16" s="7"/>
      <c r="D16" s="7"/>
      <c r="E16" s="7"/>
      <c r="F16" s="10" t="b">
        <v>0</v>
      </c>
    </row>
    <row r="17" spans="2:6">
      <c r="B17" s="20" t="s">
        <v>65</v>
      </c>
      <c r="C17" s="20"/>
      <c r="D17" s="20"/>
      <c r="E17" s="20"/>
      <c r="F17" s="20"/>
    </row>
    <row r="19" spans="2:6">
      <c r="B19" s="13" t="s">
        <v>66</v>
      </c>
    </row>
    <row r="20" spans="2:6">
      <c r="B20" s="22" t="s">
        <v>67</v>
      </c>
      <c r="C20" s="22"/>
      <c r="D20" s="22"/>
      <c r="E20" s="22"/>
      <c r="F20" s="22"/>
    </row>
    <row r="21" spans="2:6">
      <c r="B21" s="5" t="s">
        <v>68</v>
      </c>
      <c r="C21" s="5" t="s">
        <v>69</v>
      </c>
      <c r="D21" s="5" t="s">
        <v>70</v>
      </c>
      <c r="E21" s="5" t="s">
        <v>71</v>
      </c>
    </row>
    <row r="22" spans="2:6">
      <c r="B22" s="7"/>
      <c r="C22" s="7"/>
      <c r="D22" s="7"/>
      <c r="E22" s="7"/>
    </row>
    <row r="23" spans="2:6">
      <c r="B23" s="7"/>
      <c r="C23" s="7"/>
      <c r="D23" s="7"/>
      <c r="E23" s="7"/>
    </row>
    <row r="24" spans="2:6">
      <c r="B24" s="7"/>
      <c r="C24" s="7"/>
      <c r="D24" s="7"/>
      <c r="E24" s="7"/>
    </row>
    <row r="25" spans="2:6">
      <c r="B25" s="7"/>
      <c r="C25" s="7"/>
      <c r="D25" s="7"/>
      <c r="E25" s="7"/>
    </row>
    <row r="26" spans="2:6">
      <c r="B26" s="7"/>
      <c r="C26" s="7"/>
      <c r="D26" s="7"/>
      <c r="E26" s="7"/>
    </row>
    <row r="27" spans="2:6">
      <c r="B27" s="7"/>
      <c r="C27" s="7"/>
      <c r="D27" s="7"/>
      <c r="E27" s="7"/>
    </row>
    <row r="28" spans="2:6">
      <c r="B28" s="7"/>
      <c r="C28" s="7"/>
      <c r="D28" s="7"/>
      <c r="E28" s="7"/>
    </row>
    <row r="29" spans="2:6">
      <c r="B29" s="7"/>
      <c r="C29" s="7"/>
      <c r="D29" s="7"/>
      <c r="E29" s="7"/>
    </row>
    <row r="31" spans="2:6">
      <c r="B31" s="13" t="s">
        <v>72</v>
      </c>
    </row>
    <row r="32" spans="2:6" ht="26.1" customHeight="1">
      <c r="B32" s="22" t="s">
        <v>73</v>
      </c>
      <c r="C32" s="22"/>
      <c r="D32" s="22"/>
      <c r="E32" s="22"/>
      <c r="F32" s="22"/>
    </row>
    <row r="33" spans="2:6">
      <c r="B33" s="5" t="s">
        <v>70</v>
      </c>
      <c r="C33" s="16" t="s">
        <v>74</v>
      </c>
      <c r="D33" s="16"/>
      <c r="E33" s="16"/>
      <c r="F33" s="16"/>
    </row>
    <row r="34" spans="2:6">
      <c r="B34" s="7"/>
      <c r="C34" s="17"/>
      <c r="D34" s="17"/>
      <c r="E34" s="17"/>
      <c r="F34" s="17"/>
    </row>
    <row r="35" spans="2:6">
      <c r="B35" s="7"/>
      <c r="C35" s="17"/>
      <c r="D35" s="17"/>
      <c r="E35" s="17"/>
      <c r="F35" s="17"/>
    </row>
    <row r="36" spans="2:6">
      <c r="B36" s="7"/>
      <c r="C36" s="17"/>
      <c r="D36" s="17"/>
      <c r="E36" s="17"/>
      <c r="F36" s="17"/>
    </row>
    <row r="37" spans="2:6">
      <c r="B37" s="7"/>
      <c r="C37" s="17"/>
      <c r="D37" s="17"/>
      <c r="E37" s="17"/>
      <c r="F37" s="17"/>
    </row>
    <row r="38" spans="2:6">
      <c r="B38" s="7"/>
      <c r="C38" s="17"/>
      <c r="D38" s="17"/>
      <c r="E38" s="17"/>
      <c r="F38" s="17"/>
    </row>
    <row r="39" spans="2:6">
      <c r="B39" s="7"/>
      <c r="C39" s="17"/>
      <c r="D39" s="17"/>
      <c r="E39" s="17"/>
      <c r="F39" s="17"/>
    </row>
    <row r="40" spans="2:6">
      <c r="B40" s="7"/>
      <c r="C40" s="17"/>
      <c r="D40" s="17"/>
      <c r="E40" s="17"/>
      <c r="F40" s="17"/>
    </row>
    <row r="41" spans="2:6">
      <c r="B41" s="7"/>
      <c r="C41" s="17"/>
      <c r="D41" s="17"/>
      <c r="E41" s="17"/>
      <c r="F41" s="17"/>
    </row>
    <row r="43" spans="2:6">
      <c r="B43" s="13" t="s">
        <v>75</v>
      </c>
    </row>
    <row r="44" spans="2:6">
      <c r="B44" s="22" t="s">
        <v>76</v>
      </c>
      <c r="C44" s="22"/>
      <c r="D44" s="22"/>
      <c r="E44" s="22"/>
      <c r="F44" s="22"/>
    </row>
    <row r="45" spans="2:6">
      <c r="B45" s="5" t="s">
        <v>68</v>
      </c>
      <c r="C45" s="5" t="s">
        <v>77</v>
      </c>
      <c r="D45" s="5" t="s">
        <v>70</v>
      </c>
      <c r="E45" s="5" t="s">
        <v>71</v>
      </c>
    </row>
    <row r="46" spans="2:6">
      <c r="B46" s="7"/>
      <c r="C46" s="14" t="s">
        <v>78</v>
      </c>
      <c r="D46" s="7"/>
      <c r="E46" s="7"/>
    </row>
    <row r="47" spans="2:6">
      <c r="B47" s="7"/>
      <c r="C47" s="14" t="s">
        <v>79</v>
      </c>
      <c r="D47" s="7"/>
      <c r="E47" s="7"/>
    </row>
    <row r="48" spans="2:6">
      <c r="B48" s="7"/>
      <c r="C48" s="14" t="s">
        <v>80</v>
      </c>
      <c r="D48" s="7"/>
      <c r="E48" s="7"/>
    </row>
    <row r="49" spans="2:5">
      <c r="B49" s="7"/>
      <c r="C49" s="14"/>
      <c r="D49" s="7"/>
      <c r="E49" s="7"/>
    </row>
    <row r="50" spans="2:5">
      <c r="B50" s="7"/>
      <c r="C50" s="14"/>
      <c r="D50" s="7"/>
      <c r="E50" s="7"/>
    </row>
  </sheetData>
  <mergeCells count="14">
    <mergeCell ref="C39:F39"/>
    <mergeCell ref="C40:F40"/>
    <mergeCell ref="C41:F41"/>
    <mergeCell ref="B44:F44"/>
    <mergeCell ref="C34:F34"/>
    <mergeCell ref="C35:F35"/>
    <mergeCell ref="C36:F36"/>
    <mergeCell ref="C37:F37"/>
    <mergeCell ref="C38:F38"/>
    <mergeCell ref="B6:F6"/>
    <mergeCell ref="B17:F17"/>
    <mergeCell ref="B20:F20"/>
    <mergeCell ref="B32:F32"/>
    <mergeCell ref="C33:F33"/>
  </mergeCells>
  <pageMargins left="0.5" right="0.5" top="0.7" bottom="0.7" header="0.3" footer="0.3"/>
  <pageSetup paperSize="9" fitToHeight="0" orientation="portrait"/>
  <headerFooter>
    <oddHeader>&amp;L&amp;8Hitachi Rail · Interne Abnahmeprüfung&amp;R&amp;8TIP Software – Manteldokument</oddHeader>
    <oddFooter>&amp;L&amp;8Template Ausgabe 02&amp;R&amp;8Seite &amp;P von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J17"/>
  <sheetViews>
    <sheetView workbookViewId="0"/>
  </sheetViews>
  <sheetFormatPr defaultRowHeight="15"/>
  <cols>
    <col min="1" max="1" width="2.7109375" customWidth="1"/>
    <col min="2" max="2" width="34.7109375" customWidth="1"/>
    <col min="3" max="3" width="44.7109375" customWidth="1"/>
    <col min="4" max="5" width="12.7109375" customWidth="1"/>
    <col min="6" max="9" width="8.28515625" customWidth="1"/>
    <col min="10" max="10" width="13.7109375" customWidth="1"/>
  </cols>
  <sheetData>
    <row r="2" spans="2:10">
      <c r="B2" s="3" t="s">
        <v>81</v>
      </c>
    </row>
    <row r="3" spans="2:10">
      <c r="B3" s="2" t="str">
        <f>"Projekt: "&amp;Deckblatt!$C$10&amp;"   ·   Stellwerk: "&amp;Deckblatt!$C$13&amp;"   ·   Bauzustand: "&amp;Deckblatt!$C$14</f>
        <v/>
      </c>
    </row>
    <row r="5" spans="2:10" ht="26.1" customHeight="1">
      <c r="B5" s="22" t="s">
        <v>82</v>
      </c>
      <c r="C5" s="22"/>
      <c r="D5" s="22"/>
      <c r="E5" s="22"/>
      <c r="F5" s="22"/>
      <c r="G5" s="22"/>
      <c r="H5" s="22"/>
      <c r="I5" s="22"/>
      <c r="J5" s="22"/>
    </row>
    <row r="7" spans="2:10">
      <c r="B7" s="5"/>
      <c r="C7" s="5"/>
      <c r="D7" s="5"/>
      <c r="E7" s="5"/>
      <c r="F7" s="16" t="s">
        <v>83</v>
      </c>
      <c r="G7" s="16"/>
      <c r="H7" s="16"/>
      <c r="I7" s="5"/>
      <c r="J7" s="5"/>
    </row>
    <row r="8" spans="2:10">
      <c r="B8" s="5" t="s">
        <v>84</v>
      </c>
      <c r="C8" s="5" t="s">
        <v>85</v>
      </c>
      <c r="D8" s="5" t="s">
        <v>86</v>
      </c>
      <c r="E8" s="5" t="s">
        <v>87</v>
      </c>
      <c r="F8" s="5" t="s">
        <v>16</v>
      </c>
      <c r="G8" s="5" t="s">
        <v>17</v>
      </c>
      <c r="H8" s="5" t="s">
        <v>88</v>
      </c>
      <c r="I8" s="5" t="s">
        <v>89</v>
      </c>
      <c r="J8" s="5" t="s">
        <v>90</v>
      </c>
    </row>
    <row r="9" spans="2:10" ht="18" customHeight="1">
      <c r="B9" s="15" t="s">
        <v>91</v>
      </c>
      <c r="C9" s="8" t="s">
        <v>92</v>
      </c>
      <c r="D9" s="7"/>
      <c r="E9" s="7"/>
      <c r="F9" s="10" t="b">
        <v>0</v>
      </c>
      <c r="G9" s="10" t="b">
        <v>0</v>
      </c>
      <c r="H9" s="10" t="b">
        <v>0</v>
      </c>
      <c r="I9" s="10" t="b">
        <v>0</v>
      </c>
      <c r="J9" s="11" t="str">
        <f>IF(H9=TRUE,"n. z.",IF(G9=TRUE,"Nein!",IF(AND(F9=TRUE,I9=TRUE),"vollständig","offen")))</f>
        <v>offen</v>
      </c>
    </row>
    <row r="10" spans="2:10" ht="18" customHeight="1">
      <c r="B10" s="15" t="s">
        <v>93</v>
      </c>
      <c r="C10" s="8" t="s">
        <v>94</v>
      </c>
      <c r="D10" s="7"/>
      <c r="E10" s="7"/>
      <c r="F10" s="10" t="b">
        <v>0</v>
      </c>
      <c r="G10" s="10" t="b">
        <v>0</v>
      </c>
      <c r="H10" s="10" t="b">
        <v>0</v>
      </c>
      <c r="I10" s="10" t="b">
        <v>0</v>
      </c>
      <c r="J10" s="11" t="str">
        <f>IF(H10=TRUE,"n. z.",IF(G10=TRUE,"Nein!",IF(AND(F10=TRUE,I10=TRUE),"vollständig","offen")))</f>
        <v>offen</v>
      </c>
    </row>
    <row r="11" spans="2:10" ht="18" customHeight="1">
      <c r="B11" s="15" t="s">
        <v>95</v>
      </c>
      <c r="C11" s="8" t="s">
        <v>96</v>
      </c>
      <c r="D11" s="7"/>
      <c r="E11" s="7"/>
      <c r="F11" s="10" t="b">
        <v>0</v>
      </c>
      <c r="G11" s="10" t="b">
        <v>0</v>
      </c>
      <c r="H11" s="10" t="b">
        <v>0</v>
      </c>
      <c r="I11" s="10" t="b">
        <v>0</v>
      </c>
      <c r="J11" s="11" t="str">
        <f>IF(H11=TRUE,"n. z.",IF(G11=TRUE,"Nein!",IF(AND(F11=TRUE,I11=TRUE),"vollständig","offen")))</f>
        <v>offen</v>
      </c>
    </row>
    <row r="12" spans="2:10" ht="18" customHeight="1">
      <c r="B12" s="15" t="s">
        <v>97</v>
      </c>
      <c r="C12" s="8" t="s">
        <v>98</v>
      </c>
      <c r="D12" s="7"/>
      <c r="E12" s="7"/>
      <c r="F12" s="10" t="b">
        <v>0</v>
      </c>
      <c r="G12" s="10" t="b">
        <v>0</v>
      </c>
      <c r="H12" s="10" t="b">
        <v>0</v>
      </c>
      <c r="I12" s="10" t="b">
        <v>0</v>
      </c>
      <c r="J12" s="11" t="str">
        <f>IF(H12=TRUE,"n. z.",IF(G12=TRUE,"Nein!",IF(AND(F12=TRUE,I12=TRUE),"vollständig","offen")))</f>
        <v>offen</v>
      </c>
    </row>
    <row r="13" spans="2:10" ht="18" customHeight="1">
      <c r="B13" s="15" t="s">
        <v>99</v>
      </c>
      <c r="C13" s="8" t="s">
        <v>100</v>
      </c>
      <c r="D13" s="7"/>
      <c r="E13" s="7"/>
      <c r="F13" s="10" t="b">
        <v>0</v>
      </c>
      <c r="G13" s="10" t="b">
        <v>0</v>
      </c>
      <c r="H13" s="10" t="b">
        <v>0</v>
      </c>
      <c r="I13" s="10" t="b">
        <v>0</v>
      </c>
      <c r="J13" s="11" t="str">
        <f>IF(H13=TRUE,"n. z.",IF(G13=TRUE,"Nein!",IF(AND(F13=TRUE,I13=TRUE),"vollständig","offen")))</f>
        <v>offen</v>
      </c>
    </row>
    <row r="14" spans="2:10" ht="18" customHeight="1">
      <c r="B14" s="15" t="s">
        <v>101</v>
      </c>
      <c r="C14" s="8" t="s">
        <v>102</v>
      </c>
      <c r="D14" s="7"/>
      <c r="E14" s="7"/>
      <c r="F14" s="10" t="b">
        <v>0</v>
      </c>
      <c r="G14" s="10" t="b">
        <v>0</v>
      </c>
      <c r="H14" s="10" t="b">
        <v>0</v>
      </c>
      <c r="I14" s="10" t="b">
        <v>0</v>
      </c>
      <c r="J14" s="11" t="str">
        <f>IF(H14=TRUE,"n. z.",IF(G14=TRUE,"Nein!",IF(AND(F14=TRUE,I14=TRUE),"vollständig","offen")))</f>
        <v>offen</v>
      </c>
    </row>
    <row r="15" spans="2:10" ht="18" customHeight="1">
      <c r="B15" s="6" t="s">
        <v>103</v>
      </c>
      <c r="C15" s="8" t="s">
        <v>104</v>
      </c>
      <c r="D15" s="9" t="s">
        <v>105</v>
      </c>
      <c r="E15" s="9" t="s">
        <v>105</v>
      </c>
      <c r="F15" s="9"/>
      <c r="G15" s="9"/>
      <c r="H15" s="10" t="b">
        <v>0</v>
      </c>
      <c r="I15" s="10" t="b">
        <v>0</v>
      </c>
      <c r="J15" s="11" t="str">
        <f>IF(H15=TRUE,"n. z.",IF(I15=TRUE,"vollständig","offen"))</f>
        <v>offen</v>
      </c>
    </row>
    <row r="16" spans="2:10" ht="18" customHeight="1">
      <c r="B16" s="6" t="s">
        <v>106</v>
      </c>
      <c r="C16" s="8" t="s">
        <v>107</v>
      </c>
      <c r="D16" s="9" t="s">
        <v>105</v>
      </c>
      <c r="E16" s="9" t="s">
        <v>105</v>
      </c>
      <c r="F16" s="9"/>
      <c r="G16" s="9"/>
      <c r="H16" s="10" t="b">
        <v>0</v>
      </c>
      <c r="I16" s="10" t="b">
        <v>0</v>
      </c>
      <c r="J16" s="11" t="str">
        <f>IF(H16=TRUE,"n. z.",IF(I16=TRUE,"vollständig","offen"))</f>
        <v>offen</v>
      </c>
    </row>
    <row r="17" spans="2:10">
      <c r="B17" s="20" t="s">
        <v>108</v>
      </c>
      <c r="C17" s="20"/>
      <c r="D17" s="20"/>
      <c r="E17" s="20"/>
      <c r="F17" s="20"/>
      <c r="G17" s="20"/>
      <c r="H17" s="20"/>
      <c r="I17" s="20"/>
      <c r="J17" s="20"/>
    </row>
  </sheetData>
  <mergeCells count="3">
    <mergeCell ref="B5:J5"/>
    <mergeCell ref="F7:H7"/>
    <mergeCell ref="B17:J17"/>
  </mergeCells>
  <conditionalFormatting sqref="J9:J16">
    <cfRule type="cellIs" dxfId="3" priority="1" operator="equal">
      <formula>"vollständig"</formula>
    </cfRule>
    <cfRule type="cellIs" dxfId="2" priority="2" operator="equal">
      <formula>"n. z."</formula>
    </cfRule>
    <cfRule type="cellIs" dxfId="1" priority="3" operator="equal">
      <formula>"Nein!"</formula>
    </cfRule>
    <cfRule type="cellIs" dxfId="0" priority="4" operator="equal">
      <formula>"offen"</formula>
    </cfRule>
  </conditionalFormatting>
  <pageMargins left="0.5" right="0.5" top="0.7" bottom="0.7" header="0.3" footer="0.3"/>
  <pageSetup paperSize="9" fitToHeight="0" orientation="landscape"/>
  <headerFooter>
    <oddHeader>&amp;L&amp;8Hitachi Rail · Interne Abnahmeprüfung&amp;R&amp;8TIP Software – Manteldokument</oddHeader>
    <oddFooter>&amp;L&amp;8Template Ausgabe 02&amp;R&amp;8Seite &amp;P von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F35"/>
  <sheetViews>
    <sheetView workbookViewId="0"/>
  </sheetViews>
  <sheetFormatPr defaultRowHeight="15"/>
  <cols>
    <col min="1" max="1" width="2.7109375" customWidth="1"/>
    <col min="2" max="2" width="6.7109375" customWidth="1"/>
    <col min="3" max="3" width="44.7109375" customWidth="1"/>
    <col min="4" max="4" width="18.7109375" customWidth="1"/>
    <col min="5" max="5" width="32.7109375" customWidth="1"/>
    <col min="6" max="6" width="10.7109375" customWidth="1"/>
  </cols>
  <sheetData>
    <row r="2" spans="2:6">
      <c r="B2" s="3" t="s">
        <v>109</v>
      </c>
    </row>
    <row r="3" spans="2:6">
      <c r="B3" s="2" t="str">
        <f>"Projekt: "&amp;Deckblatt!$C$10&amp;"   ·   Stellwerk: "&amp;Deckblatt!$C$13&amp;"   ·   Bauzustand: "&amp;Deckblatt!$C$14</f>
        <v/>
      </c>
    </row>
    <row r="5" spans="2:6">
      <c r="B5" s="13" t="s">
        <v>110</v>
      </c>
    </row>
    <row r="6" spans="2:6">
      <c r="B6" s="22" t="s">
        <v>111</v>
      </c>
      <c r="C6" s="22"/>
      <c r="D6" s="22"/>
      <c r="E6" s="22"/>
      <c r="F6" s="22"/>
    </row>
    <row r="7" spans="2:6">
      <c r="B7" s="5" t="s">
        <v>112</v>
      </c>
      <c r="C7" s="5" t="s">
        <v>113</v>
      </c>
      <c r="D7" s="5" t="s">
        <v>114</v>
      </c>
      <c r="E7" s="5" t="s">
        <v>115</v>
      </c>
      <c r="F7" s="5" t="s">
        <v>116</v>
      </c>
    </row>
    <row r="8" spans="2:6">
      <c r="B8" s="9">
        <v>1</v>
      </c>
      <c r="C8" s="7"/>
      <c r="D8" s="7"/>
      <c r="E8" s="7"/>
      <c r="F8" s="10" t="b">
        <v>0</v>
      </c>
    </row>
    <row r="9" spans="2:6">
      <c r="B9" s="9">
        <v>2</v>
      </c>
      <c r="C9" s="7"/>
      <c r="D9" s="7"/>
      <c r="E9" s="7"/>
      <c r="F9" s="10" t="b">
        <v>0</v>
      </c>
    </row>
    <row r="10" spans="2:6">
      <c r="B10" s="9">
        <v>3</v>
      </c>
      <c r="C10" s="7"/>
      <c r="D10" s="7"/>
      <c r="E10" s="7"/>
      <c r="F10" s="10" t="b">
        <v>0</v>
      </c>
    </row>
    <row r="11" spans="2:6">
      <c r="B11" s="9">
        <v>4</v>
      </c>
      <c r="C11" s="7"/>
      <c r="D11" s="7"/>
      <c r="E11" s="7"/>
      <c r="F11" s="10" t="b">
        <v>0</v>
      </c>
    </row>
    <row r="12" spans="2:6">
      <c r="B12" s="9">
        <v>5</v>
      </c>
      <c r="C12" s="7"/>
      <c r="D12" s="7"/>
      <c r="E12" s="7"/>
      <c r="F12" s="10" t="b">
        <v>0</v>
      </c>
    </row>
    <row r="13" spans="2:6">
      <c r="B13" s="9">
        <v>6</v>
      </c>
      <c r="C13" s="7"/>
      <c r="D13" s="7"/>
      <c r="E13" s="7"/>
      <c r="F13" s="10" t="b">
        <v>0</v>
      </c>
    </row>
    <row r="14" spans="2:6">
      <c r="B14" s="9">
        <v>7</v>
      </c>
      <c r="C14" s="7"/>
      <c r="D14" s="7"/>
      <c r="E14" s="7"/>
      <c r="F14" s="10" t="b">
        <v>0</v>
      </c>
    </row>
    <row r="15" spans="2:6">
      <c r="B15" s="9">
        <v>8</v>
      </c>
      <c r="C15" s="7"/>
      <c r="D15" s="7"/>
      <c r="E15" s="7"/>
      <c r="F15" s="10" t="b">
        <v>0</v>
      </c>
    </row>
    <row r="16" spans="2:6">
      <c r="B16" s="9">
        <v>9</v>
      </c>
      <c r="C16" s="7"/>
      <c r="D16" s="7"/>
      <c r="E16" s="7"/>
      <c r="F16" s="10" t="b">
        <v>0</v>
      </c>
    </row>
    <row r="17" spans="2:6">
      <c r="B17" s="9">
        <v>10</v>
      </c>
      <c r="C17" s="7"/>
      <c r="D17" s="7"/>
      <c r="E17" s="7"/>
      <c r="F17" s="10" t="b">
        <v>0</v>
      </c>
    </row>
    <row r="19" spans="2:6">
      <c r="B19" s="13" t="s">
        <v>117</v>
      </c>
    </row>
    <row r="20" spans="2:6" ht="26.1" customHeight="1">
      <c r="B20" s="22" t="s">
        <v>118</v>
      </c>
      <c r="C20" s="22"/>
      <c r="D20" s="22"/>
      <c r="E20" s="22"/>
      <c r="F20" s="22"/>
    </row>
    <row r="21" spans="2:6">
      <c r="B21" s="5" t="s">
        <v>112</v>
      </c>
      <c r="C21" s="5" t="s">
        <v>119</v>
      </c>
      <c r="D21" s="5" t="s">
        <v>120</v>
      </c>
      <c r="E21" s="5" t="s">
        <v>115</v>
      </c>
      <c r="F21" s="5" t="s">
        <v>59</v>
      </c>
    </row>
    <row r="22" spans="2:6">
      <c r="B22" s="9">
        <v>1</v>
      </c>
      <c r="C22" s="7"/>
      <c r="D22" s="7"/>
      <c r="E22" s="7"/>
      <c r="F22" s="10" t="b">
        <v>0</v>
      </c>
    </row>
    <row r="23" spans="2:6">
      <c r="B23" s="9">
        <v>2</v>
      </c>
      <c r="C23" s="7"/>
      <c r="D23" s="7"/>
      <c r="E23" s="7"/>
      <c r="F23" s="10" t="b">
        <v>0</v>
      </c>
    </row>
    <row r="24" spans="2:6">
      <c r="B24" s="9">
        <v>3</v>
      </c>
      <c r="C24" s="7"/>
      <c r="D24" s="7"/>
      <c r="E24" s="7"/>
      <c r="F24" s="10" t="b">
        <v>0</v>
      </c>
    </row>
    <row r="25" spans="2:6">
      <c r="B25" s="9">
        <v>4</v>
      </c>
      <c r="C25" s="7"/>
      <c r="D25" s="7"/>
      <c r="E25" s="7"/>
      <c r="F25" s="10" t="b">
        <v>0</v>
      </c>
    </row>
    <row r="26" spans="2:6">
      <c r="B26" s="9">
        <v>5</v>
      </c>
      <c r="C26" s="7"/>
      <c r="D26" s="7"/>
      <c r="E26" s="7"/>
      <c r="F26" s="10" t="b">
        <v>0</v>
      </c>
    </row>
    <row r="27" spans="2:6">
      <c r="B27" s="9">
        <v>6</v>
      </c>
      <c r="C27" s="7"/>
      <c r="D27" s="7"/>
      <c r="E27" s="7"/>
      <c r="F27" s="10" t="b">
        <v>0</v>
      </c>
    </row>
    <row r="28" spans="2:6">
      <c r="B28" s="9">
        <v>7</v>
      </c>
      <c r="C28" s="7"/>
      <c r="D28" s="7"/>
      <c r="E28" s="7"/>
      <c r="F28" s="10" t="b">
        <v>0</v>
      </c>
    </row>
    <row r="29" spans="2:6">
      <c r="B29" s="9">
        <v>8</v>
      </c>
      <c r="C29" s="7"/>
      <c r="D29" s="7"/>
      <c r="E29" s="7"/>
      <c r="F29" s="10" t="b">
        <v>0</v>
      </c>
    </row>
    <row r="30" spans="2:6">
      <c r="B30" s="9">
        <v>9</v>
      </c>
      <c r="C30" s="7"/>
      <c r="D30" s="7"/>
      <c r="E30" s="7"/>
      <c r="F30" s="10" t="b">
        <v>0</v>
      </c>
    </row>
    <row r="31" spans="2:6">
      <c r="B31" s="9">
        <v>10</v>
      </c>
      <c r="C31" s="7"/>
      <c r="D31" s="7"/>
      <c r="E31" s="7"/>
      <c r="F31" s="10" t="b">
        <v>0</v>
      </c>
    </row>
    <row r="33" spans="2:6">
      <c r="B33" s="16" t="s">
        <v>121</v>
      </c>
      <c r="C33" s="16"/>
      <c r="D33" s="16"/>
      <c r="E33" s="16"/>
      <c r="F33" s="16"/>
    </row>
    <row r="34" spans="2:6">
      <c r="B34" s="19" t="s">
        <v>20</v>
      </c>
      <c r="C34" s="19"/>
      <c r="D34" s="19" t="s">
        <v>21</v>
      </c>
      <c r="E34" s="19"/>
      <c r="F34" s="19"/>
    </row>
    <row r="35" spans="2:6" ht="33.950000000000003" customHeight="1">
      <c r="B35" s="17"/>
      <c r="C35" s="17"/>
      <c r="D35" s="17"/>
      <c r="E35" s="17"/>
      <c r="F35" s="17"/>
    </row>
  </sheetData>
  <mergeCells count="7">
    <mergeCell ref="B35:C35"/>
    <mergeCell ref="D35:F35"/>
    <mergeCell ref="B6:F6"/>
    <mergeCell ref="B20:F20"/>
    <mergeCell ref="B33:F33"/>
    <mergeCell ref="B34:C34"/>
    <mergeCell ref="D34:F34"/>
  </mergeCells>
  <pageMargins left="0.5" right="0.5" top="0.7" bottom="0.7" header="0.3" footer="0.3"/>
  <pageSetup paperSize="9" fitToHeight="0" orientation="portrait"/>
  <headerFooter>
    <oddHeader>&amp;L&amp;8Hitachi Rail · Interne Abnahmeprüfung&amp;R&amp;8TIP Software – Manteldokument</oddHeader>
    <oddFooter>&amp;L&amp;8Template Ausgabe 02&amp;R&amp;8Seite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TIP Software – Manteldokument</dc:title>
  <dc:subject/>
  <dc:creator>Hitachi Rail – Interne Abnahmeprüfung</dc:creator>
  <cp:keywords/>
  <dc:description/>
  <cp:lastModifiedBy>KINDT Christian</cp:lastModifiedBy>
  <cp:revision/>
  <dcterms:created xsi:type="dcterms:W3CDTF">2026-10-08T16:35:27Z</dcterms:created>
  <dcterms:modified xsi:type="dcterms:W3CDTF">2026-10-09T07:12:41Z</dcterms:modified>
  <cp:category/>
  <cp:contentStatus/>
</cp:coreProperties>
</file>