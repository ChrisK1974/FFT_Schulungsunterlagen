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ckblatt" sheetId="1" r:id="rId1"/>
    <sheet name="Prüfprotokoll" sheetId="2" r:id="rId2"/>
    <sheet name="Ergebnis" sheetId="3" r:id="rId3"/>
  </sheets>
  <definedNames>
    <definedName name="_xlnm._FilterDatabase" localSheetId="1" hidden="1">Prüfprotokoll!$A$4:$J$34</definedName>
    <definedName name="_xlnm.Print_Titles" localSheetId="1">Prüfprotokoll!$4:$4</definedName>
  </definedNames>
  <calcPr calcId="124519" fullCalcOnLoad="1"/>
</workbook>
</file>

<file path=xl/sharedStrings.xml><?xml version="1.0" encoding="utf-8"?>
<sst xmlns="http://schemas.openxmlformats.org/spreadsheetml/2006/main" count="165" uniqueCount="129">
  <si>
    <t>Prüfprotokoll Achszähler (AzLM) – TIP S4 – Software AzLM und Prüfanleitung</t>
  </si>
  <si>
    <t>ESTW L90 · DB InfraGO · Prüfgrundlagen: TIP S4 (Template-Ausg. 01), Schulungsunterlage Softwareprüfung ESTW L90 (Phase 3.4 und 4.4) · Projektdaten und Anleitung: Blatt „Deckblatt“</t>
  </si>
  <si>
    <t>Nr.</t>
  </si>
  <si>
    <t>Herkunft</t>
  </si>
  <si>
    <t>TIP-Nr. / PA</t>
  </si>
  <si>
    <t>Prüffrage</t>
  </si>
  <si>
    <t>Bezug (Link)</t>
  </si>
  <si>
    <t>i. O.</t>
  </si>
  <si>
    <t>n. i. O.</t>
  </si>
  <si>
    <t>n. z.</t>
  </si>
  <si>
    <t>Status</t>
  </si>
  <si>
    <t>Bemerkung / Prüfbuch-Nr.</t>
  </si>
  <si>
    <t>2  AZA-Zuordnung und Zählpunkte</t>
  </si>
  <si>
    <t>TIP S4 – Software AzLM</t>
  </si>
  <si>
    <t>TIP S4</t>
  </si>
  <si>
    <t>Nr. 1</t>
  </si>
  <si>
    <t>Prüfung AZA-Zuordnung (nur bei AzL90M; Vergleich ELX-File – AZA PROJTAB.ass): Stimmt die Projektierung der Elementnummer und der Teilelementnummer der AZA-Projektierung mit der SM-Projektierung überein?</t>
  </si>
  <si>
    <t>↓ PA 1 (+3)</t>
  </si>
  <si>
    <t>Nr. 2</t>
  </si>
  <si>
    <t>Prüfung AZA-Diagnosemeldungen (nur bei AzL90M; Vergleich NM.MAC – AZA PROJTAB.ass): Stimmt die Reihenfolge der AZA-Schnittstellen in den nicht umschaltbaren MEM-Daten mit der AZA-Projektierung überein?</t>
  </si>
  <si>
    <t>↓ PA 3 (+1)</t>
  </si>
  <si>
    <t>Nr. 3</t>
  </si>
  <si>
    <t>Prüfung AZA (Vergleich PROJTAB.ass bei AzL90M bzw. *.PROJ bei AzLM – Achszählübersichtsplan): Sind jedem Abschnitt alle erforderlichen Zählpunkte zugeordnet, und ist die Zählrichtung bei jedem Zählpunkt korrekt projektiert?</t>
  </si>
  <si>
    <t>↓ PA 5 (+4)</t>
  </si>
  <si>
    <t>Nr. 4</t>
  </si>
  <si>
    <t>Prüfung AZA (Vergleich *.PROJ bei AzLM – Achszählübersichtsplan): Ist bei Einsatz der Schnellspannvorrichtungen der Parameter DRWBoth = Yes gesetzt?</t>
  </si>
  <si>
    <t>Prüfanleitung – Zuordnung SM / EAM / AzA</t>
  </si>
  <si>
    <t>PA</t>
  </si>
  <si>
    <t>PA 1</t>
  </si>
  <si>
    <t>Zuordnung: Stimmt das Software-Protokoll „AzA-Schnittstelleninformation“ (SM-Elementnr., SM-Elementname, AzA-Element-/Teilelementnr., Abschnittsbezeichnung) mit ELX und AZA-Projektierung überein?</t>
  </si>
  <si>
    <t>↑ S4 Nr. 1</t>
  </si>
  <si>
    <t>PA 2</t>
  </si>
  <si>
    <t>Zuordnung: Sind in der Elementliste (ELX) die AZA-Angaben (AZA = M:&lt;Modul&gt; E:&lt;Element&gt;) je Gleisabschnitt bzw. Weichengruppe konsistent zur AZA-Projektierung?</t>
  </si>
  <si>
    <t>PA 3</t>
  </si>
  <si>
    <t>Zuordnung: Sind SM-Modul, EAM-Modul, AzA-Modul und die Schnittstellenkennungen (SM/EAM-SSK, AzA/EAM-SSK) auf dem Zuordnungsblatt plausibel und konsistent?</t>
  </si>
  <si>
    <t>↑ S4 Nr. 1, 2</t>
  </si>
  <si>
    <t>Prüfanleitung – AzA-Konfiguration</t>
  </si>
  <si>
    <t>PA 4</t>
  </si>
  <si>
    <t>Konfiguration: Sind die seriellen Standard-Schnittstellen (EAM-Schnittstelle 2-kanalig, AzA-Bus ES_x, Nachbar-Schnittstellen NS_x) wie geplant belegt?</t>
  </si>
  <si>
    <t>↑ S4 Nr. 2</t>
  </si>
  <si>
    <t>PA 5</t>
  </si>
  <si>
    <t>Konfiguration: Stimmen Zählpunkte zu Nachbar-AzA (NS_x / NZ_xx) mit der Konfiguration des Nachbar-AzA überein (gleiche Zählpunktbezeichnung, gegensätzliche Zählrichtung)?</t>
  </si>
  <si>
    <t>↑ S4 Nr. 3</t>
  </si>
  <si>
    <t>PA 6</t>
  </si>
  <si>
    <t>Konfiguration: Bei Mischbetrieb / Migration AzL90M-3 ↔ AzLM: Wurde die Umsetztabelle der Zählpunkte angewendet ((Platine − 1) × 8 + Kanal + 1, z. B. 2.0 → 9)?</t>
  </si>
  <si>
    <t>PA 7</t>
  </si>
  <si>
    <t>Konfiguration: Ist bei jedem Abschnitt die Zuordnung positiv/negativ der Zählpunkte (Ein-/Ausfahrrichtung) gegen den Achszählübersichtsplan abgehakt?</t>
  </si>
  <si>
    <t>3  Versionen, Prüfsummen und Simulation</t>
  </si>
  <si>
    <t>Prüfanleitung – Versionen und Prüfsummen</t>
  </si>
  <si>
    <t>PA 8</t>
  </si>
  <si>
    <t>Version: Entsprechen AzA-SW-Version und -Sachnummer in der Konfigurationsdatei der Systemfreigabe bzw. dem FB034?</t>
  </si>
  <si>
    <t>PA 9</t>
  </si>
  <si>
    <t>Version: Stimmen Projektname, Version und Kommentar (Anlass, z. B. „1. IBN“) in der Konfigurationsdatei mit dem Bauzustand überein?</t>
  </si>
  <si>
    <t>PA 10</t>
  </si>
  <si>
    <t>Prüfsumme: Stimmen Konfigurations-Prüfsumme (CRC) bzw. EPROM-Prüfsumme / Image-Prüfsumme (*.img.crc) mit den Angaben der Projektierung (Log-Datei, FB034) überein?</t>
  </si>
  <si>
    <t>Prüfanleitung – Simulation an der Testanlage</t>
  </si>
  <si>
    <t>PA 11</t>
  </si>
  <si>
    <t>Simulation: Wurde an der Achszählsimulation die Systemversion (PAD „v“) und Projektierung (PAD „j“) angezeigt und gegen Freigabe/FB034 geprüft?</t>
  </si>
  <si>
    <t>PA 12</t>
  </si>
  <si>
    <t>Simulation: Werden nach „ek:gf 1“ alle Abschnitte frei und nach „ek:gb 1“ alle Abschnitte besetzt gemeldet; zeigt „g“ für alle Abschnitte den erwarteten Status?</t>
  </si>
  <si>
    <t>PA 13</t>
  </si>
  <si>
    <t>Simulation: Wird jeder Gleisfreimeldeabschnitt einzeln belegt und frei auf der Lupe am richtigen Element angezeigt?</t>
  </si>
  <si>
    <t>↑ S4 Nr. 1, 3</t>
  </si>
  <si>
    <t>PA 14</t>
  </si>
  <si>
    <t>Simulation: Am Übergang zu Abschnitten anderer Freimeldeart: verlängerte Toleranzzeit (VT = „V“) projektiert (siehe TIP S2 Nr. 34)?</t>
  </si>
  <si>
    <t>TIP S4 – Toolprüfung</t>
  </si>
  <si>
    <t>Nr. 5</t>
  </si>
  <si>
    <t>Wurden die Daten vom RAZA-Tool geprüft? Wurde durch das Tool kein Fehler gefunden bzw. wurden alle Fehler/Warnungen bewertet und als unkritisch eingestuft?</t>
  </si>
  <si>
    <t>↓ PA 15</t>
  </si>
  <si>
    <t>Nr. 6</t>
  </si>
  <si>
    <t>Wurden die Daten vom RENT geprüft? Wurde durch das Tool kein Fehler gefunden bzw. wurden alle Fehler/Warnungen bewertet und als unkritisch eingestuft?</t>
  </si>
  <si>
    <t>Prüfanleitung – Toolreports</t>
  </si>
  <si>
    <t>PA 15</t>
  </si>
  <si>
    <t>Toolprüfung: Sind RAZA- und RENT-Report in der Ablage gespeichert und jede Meldung einzeln bewertet und dokumentiert?</t>
  </si>
  <si>
    <t>↑ S4 Nr. 5, 6</t>
  </si>
  <si>
    <t>Hitachi Rail</t>
  </si>
  <si>
    <t>Interne Abnahmeprüfung (FFT) · ITC</t>
  </si>
  <si>
    <t>Prüfprotokoll Achszähler (AzLM)</t>
  </si>
  <si>
    <t>TIP S4 – Software AzLM und Prüfanleitung</t>
  </si>
  <si>
    <t>ESTW L90 · Domestic · DB InfraGO</t>
  </si>
  <si>
    <t>Projektdaten (gelbe Felder ausfüllen)</t>
  </si>
  <si>
    <t>Projektbezeichnung / PSP</t>
  </si>
  <si>
    <t>Stellwerk (UZ / ESTW-Z, Ril100)</t>
  </si>
  <si>
    <t>Bauzustand / AZ-Nr.</t>
  </si>
  <si>
    <t>Systemversionen (LBS, MEM, SM, EAM, AzLM)</t>
  </si>
  <si>
    <t>PT1-Stand laut PBL</t>
  </si>
  <si>
    <t>Neuanlage / Bauzustand (Differenz)</t>
  </si>
  <si>
    <t>Prüfer</t>
  </si>
  <si>
    <t>Datum</t>
  </si>
  <si>
    <t>Herkunft der Fragen</t>
  </si>
  <si>
    <t>Frage aus dem TIP S4 – Software AzLM. Zeile hellorange. Formal verbindlich; Ergebnis 1:1 ins TIP übertragen.</t>
  </si>
  <si>
    <t>Prüfanleitung: Einzelschritt (PT1-Tabelle, Prüfdokument, Simulation), mit dem eine TIP-Frage nachgewiesen wird. Aus der Schulungsunterlage, teils auf Basis historischer Arbeitsnotizen – vor Nutzung mit aktuellem Stand abgleichen.</t>
  </si>
  <si>
    <t>Bewertung</t>
  </si>
  <si>
    <t>i. O. – in Ordnung</t>
  </si>
  <si>
    <t>TIP: Ja</t>
  </si>
  <si>
    <t>Entspricht der Vorgabe (PT1, Prüfdokument, Planung).</t>
  </si>
  <si>
    <t>n. i. O. – nicht in Ordnung</t>
  </si>
  <si>
    <t>TIP: Nein</t>
  </si>
  <si>
    <t>Abweichung im Prüfbuch erfassen, Prüfbuch-Nr. in „Bemerkung“.</t>
  </si>
  <si>
    <t>n. z. – nicht zutreffend</t>
  </si>
  <si>
    <t>TIP: als n. z. kennzeichnen</t>
  </si>
  <si>
    <t>Sachverhalt kommt nicht vor; kurz begründen.</t>
  </si>
  <si>
    <t>Bedienung der Excel-Datei</t>
  </si>
  <si>
    <t>•  Je Zeile genau ein Kästchen anhaken. „Status“ zeigt offen / erledigt / n. i. O. / mehrfach!.</t>
  </si>
  <si>
    <t>•  Eine TIP-Frage erst mit i. O. bewerten, wenn alle zugehörigen PA-Schritte i. O. oder n. z. sind.</t>
  </si>
  <si>
    <t>•  Spalte „Bezug (Link)“: TIP-Frage → erster zugehöriger PA-Schritt („+n“ = weitere); PA-Schritt → TIP-Frage. ↑ = weiter oben, ↓ = weiter unten.</t>
  </si>
  <si>
    <t>•  Filter in Spalte „Herkunft“: nur TIP- oder nur PA-Zeilen anzeigen.</t>
  </si>
  <si>
    <t>•  Nachweis der PT1-Prüfung bleibt das Abhaken im PT1 (TIP-Manteldokument, Anhang A.1).</t>
  </si>
  <si>
    <t>•  Kästchen = Zellkontrollkästchen (Microsoft 365). Ältere Excel-Versionen zeigen WAHR/FALSCH; Wert dann per Eingabe ändern.</t>
  </si>
  <si>
    <t>Ergebnis – Prüfprotokoll Achszähler (AzLM)</t>
  </si>
  <si>
    <t>Abschnitt</t>
  </si>
  <si>
    <t>offen</t>
  </si>
  <si>
    <t>mehrfach</t>
  </si>
  <si>
    <t>Summe</t>
  </si>
  <si>
    <t>Davon TIP S4 – n. i. O.</t>
  </si>
  <si>
    <t>Davon PA – n. i. O.</t>
  </si>
  <si>
    <t>Gesamtergebnis</t>
  </si>
  <si>
    <t>TIP S4 – Software AzLM – alle Prüfschritte durchgeführt</t>
  </si>
  <si>
    <t>Übertrag der Abweichungen ins Prüfbuch</t>
  </si>
  <si>
    <t>Kurzbeschreibung</t>
  </si>
  <si>
    <t>Frage-Nr.</t>
  </si>
  <si>
    <t>Prüfbuch-Nr.</t>
  </si>
  <si>
    <t>Element</t>
  </si>
  <si>
    <t>Erledigt</t>
  </si>
  <si>
    <t>Unterschriften</t>
  </si>
  <si>
    <t>Freigebender</t>
  </si>
  <si>
    <t>Name (Druckbuchstaben)</t>
  </si>
  <si>
    <t>Firma (falls extern)</t>
  </si>
  <si>
    <t>Unterschrift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</si>
</sst>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b/>
      <sz val="12"/>
      <color rgb="FF2E75B6"/>
      <name val="Arial"/>
      <family val="2"/>
    </font>
    <font>
      <sz val="9"/>
      <color rgb="FF595959"/>
      <name val="Arial"/>
      <family val="2"/>
    </font>
    <font>
      <b/>
      <sz val="20"/>
      <color rgb="FF1F3864"/>
      <name val="Arial"/>
      <family val="2"/>
    </font>
    <font>
      <sz val="11"/>
      <color rgb="FF2E75B6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6"/>
      <color rgb="FF1F3864"/>
      <name val="Arial"/>
      <family val="2"/>
    </font>
    <font>
      <b/>
      <sz val="11"/>
      <color rgb="FFFFFFFF"/>
      <name val="Arial"/>
      <family val="2"/>
    </font>
    <font>
      <b/>
      <sz val="9"/>
      <color rgb="FF1F3864"/>
      <name val="Arial"/>
      <family val="2"/>
    </font>
    <font>
      <u/>
      <sz val="9"/>
      <color rgb="FF0563C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DF1E7"/>
        <bgColor indexed="64"/>
      </patternFill>
    </fill>
    <fill>
      <patternFill patternType="solid">
        <fgColor rgb="FFC5E0B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 applyAlignment="1">
      <alignment vertical="top"/>
    </xf>
    <xf numFmtId="0" fontId="9" fillId="8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top" wrapText="1"/>
    </xf>
    <xf numFmtId="0" fontId="11" fillId="6" borderId="1" xfId="0" applyFont="1" applyFill="1" applyBorder="1" applyAlignment="1">
      <alignment horizontal="center" vertical="top" wrapText="1"/>
    </xf>
    <xf numFmtId="0" fontId="0" fillId="6" borderId="1" xfId="0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6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3">
    <dxf>
      <font>
        <b/>
        <color rgb="FF375623"/>
      </font>
      <fill>
        <patternFill>
          <bgColor rgb="FFE2EFDA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>
          <bgColor rgb="FFC0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D34"/>
  <sheetViews>
    <sheetView tabSelected="1" workbookViewId="0"/>
  </sheetViews>
  <sheetFormatPr defaultRowHeight="15"/>
  <cols>
    <col min="1" max="1" width="3.7109375" customWidth="1"/>
    <col min="2" max="2" width="34.7109375" customWidth="1"/>
    <col min="3" max="3" width="22.7109375" customWidth="1"/>
    <col min="4" max="4" width="70.7109375" customWidth="1"/>
  </cols>
  <sheetData>
    <row r="2" spans="2:4">
      <c r="B2" s="1" t="s">
        <v>75</v>
      </c>
    </row>
    <row r="3" spans="2:4">
      <c r="B3" s="2" t="s">
        <v>76</v>
      </c>
    </row>
    <row r="5" spans="2:4">
      <c r="B5" s="3" t="s">
        <v>77</v>
      </c>
    </row>
    <row r="6" spans="2:4">
      <c r="B6" s="4" t="s">
        <v>78</v>
      </c>
    </row>
    <row r="7" spans="2:4">
      <c r="B7" s="2" t="s">
        <v>79</v>
      </c>
    </row>
    <row r="9" spans="2:4">
      <c r="B9" s="5" t="s">
        <v>80</v>
      </c>
      <c r="C9" s="5"/>
      <c r="D9" s="5"/>
    </row>
    <row r="10" spans="2:4">
      <c r="B10" s="6" t="s">
        <v>81</v>
      </c>
      <c r="C10" s="7"/>
      <c r="D10" s="7"/>
    </row>
    <row r="11" spans="2:4">
      <c r="B11" s="6" t="s">
        <v>82</v>
      </c>
      <c r="C11" s="7"/>
      <c r="D11" s="7"/>
    </row>
    <row r="12" spans="2:4">
      <c r="B12" s="6" t="s">
        <v>83</v>
      </c>
      <c r="C12" s="7"/>
      <c r="D12" s="7"/>
    </row>
    <row r="13" spans="2:4">
      <c r="B13" s="6" t="s">
        <v>84</v>
      </c>
      <c r="C13" s="7"/>
      <c r="D13" s="7"/>
    </row>
    <row r="14" spans="2:4">
      <c r="B14" s="6" t="s">
        <v>85</v>
      </c>
      <c r="C14" s="7"/>
      <c r="D14" s="7"/>
    </row>
    <row r="15" spans="2:4">
      <c r="B15" s="6" t="s">
        <v>86</v>
      </c>
      <c r="C15" s="7"/>
      <c r="D15" s="7"/>
    </row>
    <row r="16" spans="2:4">
      <c r="B16" s="6" t="s">
        <v>87</v>
      </c>
      <c r="C16" s="7"/>
      <c r="D16" s="7"/>
    </row>
    <row r="17" spans="2:4">
      <c r="B17" s="6" t="s">
        <v>88</v>
      </c>
      <c r="C17" s="7"/>
      <c r="D17" s="7"/>
    </row>
    <row r="19" spans="2:4">
      <c r="B19" s="5" t="s">
        <v>89</v>
      </c>
      <c r="C19" s="5"/>
      <c r="D19" s="5"/>
    </row>
    <row r="20" spans="2:4" ht="26" customHeight="1">
      <c r="B20" s="8" t="s">
        <v>14</v>
      </c>
      <c r="C20" s="9" t="s">
        <v>90</v>
      </c>
      <c r="D20" s="9"/>
    </row>
    <row r="21" spans="2:4" ht="38" customHeight="1">
      <c r="B21" s="10" t="s">
        <v>27</v>
      </c>
      <c r="C21" s="11" t="s">
        <v>91</v>
      </c>
      <c r="D21" s="11"/>
    </row>
    <row r="23" spans="2:4">
      <c r="B23" s="5" t="s">
        <v>92</v>
      </c>
      <c r="C23" s="5"/>
      <c r="D23" s="5"/>
    </row>
    <row r="24" spans="2:4">
      <c r="B24" s="6" t="s">
        <v>93</v>
      </c>
      <c r="C24" s="11" t="s">
        <v>94</v>
      </c>
      <c r="D24" s="11" t="s">
        <v>95</v>
      </c>
    </row>
    <row r="25" spans="2:4">
      <c r="B25" s="6" t="s">
        <v>96</v>
      </c>
      <c r="C25" s="11" t="s">
        <v>97</v>
      </c>
      <c r="D25" s="11" t="s">
        <v>98</v>
      </c>
    </row>
    <row r="26" spans="2:4">
      <c r="B26" s="6" t="s">
        <v>99</v>
      </c>
      <c r="C26" s="11" t="s">
        <v>100</v>
      </c>
      <c r="D26" s="11" t="s">
        <v>101</v>
      </c>
    </row>
    <row r="28" spans="2:4">
      <c r="B28" s="5" t="s">
        <v>102</v>
      </c>
      <c r="C28" s="5"/>
      <c r="D28" s="5"/>
    </row>
    <row r="29" spans="2:4" ht="26" customHeight="1">
      <c r="B29" s="11" t="s">
        <v>103</v>
      </c>
      <c r="C29" s="11"/>
      <c r="D29" s="11"/>
    </row>
    <row r="30" spans="2:4" ht="26" customHeight="1">
      <c r="B30" s="11" t="s">
        <v>104</v>
      </c>
      <c r="C30" s="11"/>
      <c r="D30" s="11"/>
    </row>
    <row r="31" spans="2:4" ht="26" customHeight="1">
      <c r="B31" s="11" t="s">
        <v>105</v>
      </c>
      <c r="C31" s="11"/>
      <c r="D31" s="11"/>
    </row>
    <row r="32" spans="2:4" ht="26" customHeight="1">
      <c r="B32" s="11" t="s">
        <v>106</v>
      </c>
      <c r="C32" s="11"/>
      <c r="D32" s="11"/>
    </row>
    <row r="33" spans="2:4" ht="26" customHeight="1">
      <c r="B33" s="11" t="s">
        <v>107</v>
      </c>
      <c r="C33" s="11"/>
      <c r="D33" s="11"/>
    </row>
    <row r="34" spans="2:4" ht="26" customHeight="1">
      <c r="B34" s="11" t="s">
        <v>108</v>
      </c>
      <c r="C34" s="11"/>
      <c r="D34" s="11"/>
    </row>
  </sheetData>
  <mergeCells count="20">
    <mergeCell ref="B9:D9"/>
    <mergeCell ref="C10:D10"/>
    <mergeCell ref="C11:D11"/>
    <mergeCell ref="C12:D12"/>
    <mergeCell ref="C13:D13"/>
    <mergeCell ref="C14:D14"/>
    <mergeCell ref="C15:D15"/>
    <mergeCell ref="C16:D16"/>
    <mergeCell ref="C17:D17"/>
    <mergeCell ref="B19:D19"/>
    <mergeCell ref="C20:D20"/>
    <mergeCell ref="C21:D21"/>
    <mergeCell ref="B23:D23"/>
    <mergeCell ref="B28:D28"/>
    <mergeCell ref="B29:D29"/>
    <mergeCell ref="B30:D30"/>
    <mergeCell ref="B31:D31"/>
    <mergeCell ref="B32:D32"/>
    <mergeCell ref="B33:D33"/>
    <mergeCell ref="B34:D34"/>
  </mergeCells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.7109375" customWidth="1"/>
    <col min="2" max="2" width="9.7109375" customWidth="1"/>
    <col min="3" max="3" width="10.7109375" customWidth="1"/>
    <col min="4" max="4" width="70.7109375" customWidth="1"/>
    <col min="5" max="5" width="15.7109375" customWidth="1"/>
    <col min="6" max="8" width="7.28515625" customWidth="1"/>
    <col min="9" max="9" width="11.7109375" customWidth="1"/>
    <col min="10" max="10" width="34.7109375" customWidth="1"/>
  </cols>
  <sheetData>
    <row r="1" spans="1:10">
      <c r="A1" s="12" t="s">
        <v>0</v>
      </c>
    </row>
    <row r="2" spans="1:10">
      <c r="A2" s="2" t="s">
        <v>1</v>
      </c>
    </row>
    <row r="4" spans="1:10" ht="3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ht="20" customHeight="1">
      <c r="A5" s="13" t="s">
        <v>12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14" t="s">
        <v>13</v>
      </c>
      <c r="B6" s="14"/>
      <c r="C6" s="14"/>
      <c r="D6" s="14"/>
      <c r="E6" s="14"/>
      <c r="F6" s="14"/>
      <c r="G6" s="14"/>
      <c r="H6" s="14"/>
      <c r="I6" s="14"/>
      <c r="J6" s="14"/>
    </row>
    <row r="7" spans="1:10" ht="40.5" customHeight="1">
      <c r="A7" s="15">
        <v>1</v>
      </c>
      <c r="B7" s="8" t="s">
        <v>14</v>
      </c>
      <c r="C7" s="15" t="s">
        <v>15</v>
      </c>
      <c r="D7" s="9" t="s">
        <v>16</v>
      </c>
      <c r="E7" s="16" t="s">
        <v>17</v>
      </c>
      <c r="F7" s="17" t="b">
        <v>0</v>
      </c>
      <c r="G7" s="17" t="b">
        <v>0</v>
      </c>
      <c r="H7" s="17" t="b">
        <v>0</v>
      </c>
      <c r="I7" s="18" t="str">
        <f>IF(COUNTIF(F7:H7,TRUE)=0,"offen",IF(COUNTIF(F7:H7,TRUE)&gt;1,"mehrfach!",IF(G7=TRUE,"n. i. O.","erledigt")))</f>
        <v>offen</v>
      </c>
      <c r="J7" s="9"/>
    </row>
    <row r="8" spans="1:10" ht="40.5" customHeight="1">
      <c r="A8" s="15">
        <v>2</v>
      </c>
      <c r="B8" s="8" t="s">
        <v>14</v>
      </c>
      <c r="C8" s="15" t="s">
        <v>18</v>
      </c>
      <c r="D8" s="9" t="s">
        <v>19</v>
      </c>
      <c r="E8" s="16" t="s">
        <v>20</v>
      </c>
      <c r="F8" s="17" t="b">
        <v>0</v>
      </c>
      <c r="G8" s="17" t="b">
        <v>0</v>
      </c>
      <c r="H8" s="17" t="b">
        <v>0</v>
      </c>
      <c r="I8" s="18" t="str">
        <f>IF(COUNTIF(F8:H8,TRUE)=0,"offen",IF(COUNTIF(F8:H8,TRUE)&gt;1,"mehrfach!",IF(G8=TRUE,"n. i. O.","erledigt")))</f>
        <v>offen</v>
      </c>
      <c r="J8" s="9"/>
    </row>
    <row r="9" spans="1:10" ht="40.5" customHeight="1">
      <c r="A9" s="15">
        <v>3</v>
      </c>
      <c r="B9" s="8" t="s">
        <v>14</v>
      </c>
      <c r="C9" s="15" t="s">
        <v>21</v>
      </c>
      <c r="D9" s="9" t="s">
        <v>22</v>
      </c>
      <c r="E9" s="16" t="s">
        <v>23</v>
      </c>
      <c r="F9" s="17" t="b">
        <v>0</v>
      </c>
      <c r="G9" s="17" t="b">
        <v>0</v>
      </c>
      <c r="H9" s="17" t="b">
        <v>0</v>
      </c>
      <c r="I9" s="18" t="str">
        <f>IF(COUNTIF(F9:H9,TRUE)=0,"offen",IF(COUNTIF(F9:H9,TRUE)&gt;1,"mehrfach!",IF(G9=TRUE,"n. i. O.","erledigt")))</f>
        <v>offen</v>
      </c>
      <c r="J9" s="9"/>
    </row>
    <row r="10" spans="1:10" ht="28" customHeight="1">
      <c r="A10" s="15">
        <v>4</v>
      </c>
      <c r="B10" s="8" t="s">
        <v>14</v>
      </c>
      <c r="C10" s="15" t="s">
        <v>24</v>
      </c>
      <c r="D10" s="9" t="s">
        <v>25</v>
      </c>
      <c r="E10" s="9"/>
      <c r="F10" s="17" t="b">
        <v>0</v>
      </c>
      <c r="G10" s="17" t="b">
        <v>0</v>
      </c>
      <c r="H10" s="17" t="b">
        <v>0</v>
      </c>
      <c r="I10" s="18" t="str">
        <f>IF(COUNTIF(F10:H10,TRUE)=0,"offen",IF(COUNTIF(F10:H10,TRUE)&gt;1,"mehrfach!",IF(G10=TRUE,"n. i. O.","erledigt")))</f>
        <v>offen</v>
      </c>
      <c r="J10" s="9"/>
    </row>
    <row r="11" spans="1:10">
      <c r="A11" s="19" t="s">
        <v>26</v>
      </c>
      <c r="B11" s="19"/>
      <c r="C11" s="19"/>
      <c r="D11" s="19"/>
      <c r="E11" s="19"/>
      <c r="F11" s="19"/>
      <c r="G11" s="19"/>
      <c r="H11" s="19"/>
      <c r="I11" s="19"/>
      <c r="J11" s="19"/>
    </row>
    <row r="12" spans="1:10" ht="40.5" customHeight="1">
      <c r="A12" s="20">
        <v>5</v>
      </c>
      <c r="B12" s="10" t="s">
        <v>27</v>
      </c>
      <c r="C12" s="20" t="s">
        <v>28</v>
      </c>
      <c r="D12" s="11" t="s">
        <v>29</v>
      </c>
      <c r="E12" s="21" t="s">
        <v>30</v>
      </c>
      <c r="F12" s="22" t="b">
        <v>0</v>
      </c>
      <c r="G12" s="22" t="b">
        <v>0</v>
      </c>
      <c r="H12" s="22" t="b">
        <v>0</v>
      </c>
      <c r="I12" s="23" t="str">
        <f>IF(COUNTIF(F12:H12,TRUE)=0,"offen",IF(COUNTIF(F12:H12,TRUE)&gt;1,"mehrfach!",IF(G12=TRUE,"n. i. O.","erledigt")))</f>
        <v>offen</v>
      </c>
      <c r="J12" s="11"/>
    </row>
    <row r="13" spans="1:10" ht="28" customHeight="1">
      <c r="A13" s="20">
        <v>6</v>
      </c>
      <c r="B13" s="10" t="s">
        <v>27</v>
      </c>
      <c r="C13" s="20" t="s">
        <v>31</v>
      </c>
      <c r="D13" s="11" t="s">
        <v>32</v>
      </c>
      <c r="E13" s="21" t="s">
        <v>30</v>
      </c>
      <c r="F13" s="22" t="b">
        <v>0</v>
      </c>
      <c r="G13" s="22" t="b">
        <v>0</v>
      </c>
      <c r="H13" s="22" t="b">
        <v>0</v>
      </c>
      <c r="I13" s="23" t="str">
        <f>IF(COUNTIF(F13:H13,TRUE)=0,"offen",IF(COUNTIF(F13:H13,TRUE)&gt;1,"mehrfach!",IF(G13=TRUE,"n. i. O.","erledigt")))</f>
        <v>offen</v>
      </c>
      <c r="J13" s="11"/>
    </row>
    <row r="14" spans="1:10" ht="28" customHeight="1">
      <c r="A14" s="20">
        <v>7</v>
      </c>
      <c r="B14" s="10" t="s">
        <v>27</v>
      </c>
      <c r="C14" s="20" t="s">
        <v>33</v>
      </c>
      <c r="D14" s="11" t="s">
        <v>34</v>
      </c>
      <c r="E14" s="21" t="s">
        <v>35</v>
      </c>
      <c r="F14" s="22" t="b">
        <v>0</v>
      </c>
      <c r="G14" s="22" t="b">
        <v>0</v>
      </c>
      <c r="H14" s="22" t="b">
        <v>0</v>
      </c>
      <c r="I14" s="23" t="str">
        <f>IF(COUNTIF(F14:H14,TRUE)=0,"offen",IF(COUNTIF(F14:H14,TRUE)&gt;1,"mehrfach!",IF(G14=TRUE,"n. i. O.","erledigt")))</f>
        <v>offen</v>
      </c>
      <c r="J14" s="11"/>
    </row>
    <row r="15" spans="1:10">
      <c r="A15" s="19" t="s">
        <v>36</v>
      </c>
      <c r="B15" s="19"/>
      <c r="C15" s="19"/>
      <c r="D15" s="19"/>
      <c r="E15" s="19"/>
      <c r="F15" s="19"/>
      <c r="G15" s="19"/>
      <c r="H15" s="19"/>
      <c r="I15" s="19"/>
      <c r="J15" s="19"/>
    </row>
    <row r="16" spans="1:10" ht="28" customHeight="1">
      <c r="A16" s="20">
        <v>8</v>
      </c>
      <c r="B16" s="10" t="s">
        <v>27</v>
      </c>
      <c r="C16" s="20" t="s">
        <v>37</v>
      </c>
      <c r="D16" s="11" t="s">
        <v>38</v>
      </c>
      <c r="E16" s="21" t="s">
        <v>39</v>
      </c>
      <c r="F16" s="22" t="b">
        <v>0</v>
      </c>
      <c r="G16" s="22" t="b">
        <v>0</v>
      </c>
      <c r="H16" s="22" t="b">
        <v>0</v>
      </c>
      <c r="I16" s="23" t="str">
        <f>IF(COUNTIF(F16:H16,TRUE)=0,"offen",IF(COUNTIF(F16:H16,TRUE)&gt;1,"mehrfach!",IF(G16=TRUE,"n. i. O.","erledigt")))</f>
        <v>offen</v>
      </c>
      <c r="J16" s="11"/>
    </row>
    <row r="17" spans="1:10" ht="28" customHeight="1">
      <c r="A17" s="20">
        <v>9</v>
      </c>
      <c r="B17" s="10" t="s">
        <v>27</v>
      </c>
      <c r="C17" s="20" t="s">
        <v>40</v>
      </c>
      <c r="D17" s="11" t="s">
        <v>41</v>
      </c>
      <c r="E17" s="21" t="s">
        <v>42</v>
      </c>
      <c r="F17" s="22" t="b">
        <v>0</v>
      </c>
      <c r="G17" s="22" t="b">
        <v>0</v>
      </c>
      <c r="H17" s="22" t="b">
        <v>0</v>
      </c>
      <c r="I17" s="23" t="str">
        <f>IF(COUNTIF(F17:H17,TRUE)=0,"offen",IF(COUNTIF(F17:H17,TRUE)&gt;1,"mehrfach!",IF(G17=TRUE,"n. i. O.","erledigt")))</f>
        <v>offen</v>
      </c>
      <c r="J17" s="11"/>
    </row>
    <row r="18" spans="1:10" ht="28" customHeight="1">
      <c r="A18" s="20">
        <v>10</v>
      </c>
      <c r="B18" s="10" t="s">
        <v>27</v>
      </c>
      <c r="C18" s="20" t="s">
        <v>43</v>
      </c>
      <c r="D18" s="11" t="s">
        <v>44</v>
      </c>
      <c r="E18" s="21" t="s">
        <v>42</v>
      </c>
      <c r="F18" s="22" t="b">
        <v>0</v>
      </c>
      <c r="G18" s="22" t="b">
        <v>0</v>
      </c>
      <c r="H18" s="22" t="b">
        <v>0</v>
      </c>
      <c r="I18" s="23" t="str">
        <f>IF(COUNTIF(F18:H18,TRUE)=0,"offen",IF(COUNTIF(F18:H18,TRUE)&gt;1,"mehrfach!",IF(G18=TRUE,"n. i. O.","erledigt")))</f>
        <v>offen</v>
      </c>
      <c r="J18" s="11"/>
    </row>
    <row r="19" spans="1:10" ht="28" customHeight="1">
      <c r="A19" s="20">
        <v>11</v>
      </c>
      <c r="B19" s="10" t="s">
        <v>27</v>
      </c>
      <c r="C19" s="20" t="s">
        <v>45</v>
      </c>
      <c r="D19" s="11" t="s">
        <v>46</v>
      </c>
      <c r="E19" s="21" t="s">
        <v>42</v>
      </c>
      <c r="F19" s="22" t="b">
        <v>0</v>
      </c>
      <c r="G19" s="22" t="b">
        <v>0</v>
      </c>
      <c r="H19" s="22" t="b">
        <v>0</v>
      </c>
      <c r="I19" s="23" t="str">
        <f>IF(COUNTIF(F19:H19,TRUE)=0,"offen",IF(COUNTIF(F19:H19,TRUE)&gt;1,"mehrfach!",IF(G19=TRUE,"n. i. O.","erledigt")))</f>
        <v>offen</v>
      </c>
      <c r="J19" s="11"/>
    </row>
    <row r="20" spans="1:10" ht="20" customHeight="1">
      <c r="A20" s="13" t="s">
        <v>47</v>
      </c>
      <c r="B20" s="13"/>
      <c r="C20" s="13"/>
      <c r="D20" s="13"/>
      <c r="E20" s="13"/>
      <c r="F20" s="13"/>
      <c r="G20" s="13"/>
      <c r="H20" s="13"/>
      <c r="I20" s="13"/>
      <c r="J20" s="13"/>
    </row>
    <row r="21" spans="1:10">
      <c r="A21" s="19" t="s">
        <v>48</v>
      </c>
      <c r="B21" s="19"/>
      <c r="C21" s="19"/>
      <c r="D21" s="19"/>
      <c r="E21" s="19"/>
      <c r="F21" s="19"/>
      <c r="G21" s="19"/>
      <c r="H21" s="19"/>
      <c r="I21" s="19"/>
      <c r="J21" s="19"/>
    </row>
    <row r="22" spans="1:10" ht="28" customHeight="1">
      <c r="A22" s="20">
        <v>12</v>
      </c>
      <c r="B22" s="10" t="s">
        <v>27</v>
      </c>
      <c r="C22" s="20" t="s">
        <v>49</v>
      </c>
      <c r="D22" s="11" t="s">
        <v>50</v>
      </c>
      <c r="E22" s="11"/>
      <c r="F22" s="22" t="b">
        <v>0</v>
      </c>
      <c r="G22" s="22" t="b">
        <v>0</v>
      </c>
      <c r="H22" s="22" t="b">
        <v>0</v>
      </c>
      <c r="I22" s="23" t="str">
        <f>IF(COUNTIF(F22:H22,TRUE)=0,"offen",IF(COUNTIF(F22:H22,TRUE)&gt;1,"mehrfach!",IF(G22=TRUE,"n. i. O.","erledigt")))</f>
        <v>offen</v>
      </c>
      <c r="J22" s="11"/>
    </row>
    <row r="23" spans="1:10" ht="28" customHeight="1">
      <c r="A23" s="20">
        <v>13</v>
      </c>
      <c r="B23" s="10" t="s">
        <v>27</v>
      </c>
      <c r="C23" s="20" t="s">
        <v>51</v>
      </c>
      <c r="D23" s="11" t="s">
        <v>52</v>
      </c>
      <c r="E23" s="11"/>
      <c r="F23" s="22" t="b">
        <v>0</v>
      </c>
      <c r="G23" s="22" t="b">
        <v>0</v>
      </c>
      <c r="H23" s="22" t="b">
        <v>0</v>
      </c>
      <c r="I23" s="23" t="str">
        <f>IF(COUNTIF(F23:H23,TRUE)=0,"offen",IF(COUNTIF(F23:H23,TRUE)&gt;1,"mehrfach!",IF(G23=TRUE,"n. i. O.","erledigt")))</f>
        <v>offen</v>
      </c>
      <c r="J23" s="11"/>
    </row>
    <row r="24" spans="1:10" ht="28" customHeight="1">
      <c r="A24" s="20">
        <v>14</v>
      </c>
      <c r="B24" s="10" t="s">
        <v>27</v>
      </c>
      <c r="C24" s="20" t="s">
        <v>53</v>
      </c>
      <c r="D24" s="11" t="s">
        <v>54</v>
      </c>
      <c r="E24" s="11"/>
      <c r="F24" s="22" t="b">
        <v>0</v>
      </c>
      <c r="G24" s="22" t="b">
        <v>0</v>
      </c>
      <c r="H24" s="22" t="b">
        <v>0</v>
      </c>
      <c r="I24" s="23" t="str">
        <f>IF(COUNTIF(F24:H24,TRUE)=0,"offen",IF(COUNTIF(F24:H24,TRUE)&gt;1,"mehrfach!",IF(G24=TRUE,"n. i. O.","erledigt")))</f>
        <v>offen</v>
      </c>
      <c r="J24" s="11"/>
    </row>
    <row r="25" spans="1:10">
      <c r="A25" s="19" t="s">
        <v>55</v>
      </c>
      <c r="B25" s="19"/>
      <c r="C25" s="19"/>
      <c r="D25" s="19"/>
      <c r="E25" s="19"/>
      <c r="F25" s="19"/>
      <c r="G25" s="19"/>
      <c r="H25" s="19"/>
      <c r="I25" s="19"/>
      <c r="J25" s="19"/>
    </row>
    <row r="26" spans="1:10" ht="28" customHeight="1">
      <c r="A26" s="20">
        <v>15</v>
      </c>
      <c r="B26" s="10" t="s">
        <v>27</v>
      </c>
      <c r="C26" s="20" t="s">
        <v>56</v>
      </c>
      <c r="D26" s="11" t="s">
        <v>57</v>
      </c>
      <c r="E26" s="11"/>
      <c r="F26" s="22" t="b">
        <v>0</v>
      </c>
      <c r="G26" s="22" t="b">
        <v>0</v>
      </c>
      <c r="H26" s="22" t="b">
        <v>0</v>
      </c>
      <c r="I26" s="23" t="str">
        <f>IF(COUNTIF(F26:H26,TRUE)=0,"offen",IF(COUNTIF(F26:H26,TRUE)&gt;1,"mehrfach!",IF(G26=TRUE,"n. i. O.","erledigt")))</f>
        <v>offen</v>
      </c>
      <c r="J26" s="11"/>
    </row>
    <row r="27" spans="1:10" ht="28" customHeight="1">
      <c r="A27" s="20">
        <v>16</v>
      </c>
      <c r="B27" s="10" t="s">
        <v>27</v>
      </c>
      <c r="C27" s="20" t="s">
        <v>58</v>
      </c>
      <c r="D27" s="11" t="s">
        <v>59</v>
      </c>
      <c r="E27" s="21" t="s">
        <v>42</v>
      </c>
      <c r="F27" s="22" t="b">
        <v>0</v>
      </c>
      <c r="G27" s="22" t="b">
        <v>0</v>
      </c>
      <c r="H27" s="22" t="b">
        <v>0</v>
      </c>
      <c r="I27" s="23" t="str">
        <f>IF(COUNTIF(F27:H27,TRUE)=0,"offen",IF(COUNTIF(F27:H27,TRUE)&gt;1,"mehrfach!",IF(G27=TRUE,"n. i. O.","erledigt")))</f>
        <v>offen</v>
      </c>
      <c r="J27" s="11"/>
    </row>
    <row r="28" spans="1:10" ht="28" customHeight="1">
      <c r="A28" s="20">
        <v>17</v>
      </c>
      <c r="B28" s="10" t="s">
        <v>27</v>
      </c>
      <c r="C28" s="20" t="s">
        <v>60</v>
      </c>
      <c r="D28" s="11" t="s">
        <v>61</v>
      </c>
      <c r="E28" s="21" t="s">
        <v>62</v>
      </c>
      <c r="F28" s="22" t="b">
        <v>0</v>
      </c>
      <c r="G28" s="22" t="b">
        <v>0</v>
      </c>
      <c r="H28" s="22" t="b">
        <v>0</v>
      </c>
      <c r="I28" s="23" t="str">
        <f>IF(COUNTIF(F28:H28,TRUE)=0,"offen",IF(COUNTIF(F28:H28,TRUE)&gt;1,"mehrfach!",IF(G28=TRUE,"n. i. O.","erledigt")))</f>
        <v>offen</v>
      </c>
      <c r="J28" s="11"/>
    </row>
    <row r="29" spans="1:10" ht="28" customHeight="1">
      <c r="A29" s="20">
        <v>18</v>
      </c>
      <c r="B29" s="10" t="s">
        <v>27</v>
      </c>
      <c r="C29" s="20" t="s">
        <v>63</v>
      </c>
      <c r="D29" s="11" t="s">
        <v>64</v>
      </c>
      <c r="E29" s="11"/>
      <c r="F29" s="22" t="b">
        <v>0</v>
      </c>
      <c r="G29" s="22" t="b">
        <v>0</v>
      </c>
      <c r="H29" s="22" t="b">
        <v>0</v>
      </c>
      <c r="I29" s="23" t="str">
        <f>IF(COUNTIF(F29:H29,TRUE)=0,"offen",IF(COUNTIF(F29:H29,TRUE)&gt;1,"mehrfach!",IF(G29=TRUE,"n. i. O.","erledigt")))</f>
        <v>offen</v>
      </c>
      <c r="J29" s="11"/>
    </row>
    <row r="30" spans="1:10">
      <c r="A30" s="14" t="s">
        <v>65</v>
      </c>
      <c r="B30" s="14"/>
      <c r="C30" s="14"/>
      <c r="D30" s="14"/>
      <c r="E30" s="14"/>
      <c r="F30" s="14"/>
      <c r="G30" s="14"/>
      <c r="H30" s="14"/>
      <c r="I30" s="14"/>
      <c r="J30" s="14"/>
    </row>
    <row r="31" spans="1:10" ht="28" customHeight="1">
      <c r="A31" s="15">
        <v>19</v>
      </c>
      <c r="B31" s="8" t="s">
        <v>14</v>
      </c>
      <c r="C31" s="15" t="s">
        <v>66</v>
      </c>
      <c r="D31" s="9" t="s">
        <v>67</v>
      </c>
      <c r="E31" s="16" t="s">
        <v>68</v>
      </c>
      <c r="F31" s="17" t="b">
        <v>0</v>
      </c>
      <c r="G31" s="17" t="b">
        <v>0</v>
      </c>
      <c r="H31" s="17" t="b">
        <v>0</v>
      </c>
      <c r="I31" s="18" t="str">
        <f>IF(COUNTIF(F31:H31,TRUE)=0,"offen",IF(COUNTIF(F31:H31,TRUE)&gt;1,"mehrfach!",IF(G31=TRUE,"n. i. O.","erledigt")))</f>
        <v>offen</v>
      </c>
      <c r="J31" s="9"/>
    </row>
    <row r="32" spans="1:10" ht="28" customHeight="1">
      <c r="A32" s="15">
        <v>20</v>
      </c>
      <c r="B32" s="8" t="s">
        <v>14</v>
      </c>
      <c r="C32" s="15" t="s">
        <v>69</v>
      </c>
      <c r="D32" s="9" t="s">
        <v>70</v>
      </c>
      <c r="E32" s="16" t="s">
        <v>68</v>
      </c>
      <c r="F32" s="17" t="b">
        <v>0</v>
      </c>
      <c r="G32" s="17" t="b">
        <v>0</v>
      </c>
      <c r="H32" s="17" t="b">
        <v>0</v>
      </c>
      <c r="I32" s="18" t="str">
        <f>IF(COUNTIF(F32:H32,TRUE)=0,"offen",IF(COUNTIF(F32:H32,TRUE)&gt;1,"mehrfach!",IF(G32=TRUE,"n. i. O.","erledigt")))</f>
        <v>offen</v>
      </c>
      <c r="J32" s="9"/>
    </row>
    <row r="33" spans="1:10">
      <c r="A33" s="19" t="s">
        <v>71</v>
      </c>
      <c r="B33" s="19"/>
      <c r="C33" s="19"/>
      <c r="D33" s="19"/>
      <c r="E33" s="19"/>
      <c r="F33" s="19"/>
      <c r="G33" s="19"/>
      <c r="H33" s="19"/>
      <c r="I33" s="19"/>
      <c r="J33" s="19"/>
    </row>
    <row r="34" spans="1:10" ht="28" customHeight="1">
      <c r="A34" s="20">
        <v>21</v>
      </c>
      <c r="B34" s="10" t="s">
        <v>27</v>
      </c>
      <c r="C34" s="20" t="s">
        <v>72</v>
      </c>
      <c r="D34" s="11" t="s">
        <v>73</v>
      </c>
      <c r="E34" s="21" t="s">
        <v>74</v>
      </c>
      <c r="F34" s="22" t="b">
        <v>0</v>
      </c>
      <c r="G34" s="22" t="b">
        <v>0</v>
      </c>
      <c r="H34" s="22" t="b">
        <v>0</v>
      </c>
      <c r="I34" s="23" t="str">
        <f>IF(COUNTIF(F34:H34,TRUE)=0,"offen",IF(COUNTIF(F34:H34,TRUE)&gt;1,"mehrfach!",IF(G34=TRUE,"n. i. O.","erledigt")))</f>
        <v>offen</v>
      </c>
      <c r="J34" s="11"/>
    </row>
  </sheetData>
  <autoFilter ref="A4:J34"/>
  <mergeCells count="9">
    <mergeCell ref="A5:J5"/>
    <mergeCell ref="A6:J6"/>
    <mergeCell ref="A11:J11"/>
    <mergeCell ref="A15:J15"/>
    <mergeCell ref="A20:J20"/>
    <mergeCell ref="A21:J21"/>
    <mergeCell ref="A25:J25"/>
    <mergeCell ref="A30:J30"/>
    <mergeCell ref="A33:J33"/>
  </mergeCells>
  <conditionalFormatting sqref="I5:I34">
    <cfRule type="cellIs" dxfId="0" priority="1" operator="equal">
      <formula>"erledigt"</formula>
    </cfRule>
    <cfRule type="cellIs" dxfId="1" priority="2" operator="equal">
      <formula>"n. i. O."</formula>
    </cfRule>
    <cfRule type="cellIs" dxfId="2" priority="3" operator="equal">
      <formula>"mehrfach!"</formula>
    </cfRule>
  </conditionalFormatting>
  <hyperlinks>
    <hyperlink ref="E7" location="'Prüfprotokoll'!D12" tooltip="Zur zugehörigen Prüfanleitung springen" display="↓ PA 1 (+3)"/>
    <hyperlink ref="E8" location="'Prüfprotokoll'!D14" tooltip="Zur zugehörigen Prüfanleitung springen" display="↓ PA 3 (+1)"/>
    <hyperlink ref="E9" location="'Prüfprotokoll'!D17" tooltip="Zur zugehörigen Prüfanleitung springen" display="↓ PA 5 (+4)"/>
    <hyperlink ref="E12" location="'Prüfprotokoll'!D7" tooltip="Zur TIP-Frage springen" display="↑ S4 Nr. 1"/>
    <hyperlink ref="E13" location="'Prüfprotokoll'!D7" tooltip="Zur TIP-Frage springen" display="↑ S4 Nr. 1"/>
    <hyperlink ref="E14" location="'Prüfprotokoll'!D7" tooltip="Zur TIP-Frage springen" display="↑ S4 Nr. 1, 2"/>
    <hyperlink ref="E16" location="'Prüfprotokoll'!D8" tooltip="Zur TIP-Frage springen" display="↑ S4 Nr. 2"/>
    <hyperlink ref="E17" location="'Prüfprotokoll'!D9" tooltip="Zur TIP-Frage springen" display="↑ S4 Nr. 3"/>
    <hyperlink ref="E18" location="'Prüfprotokoll'!D9" tooltip="Zur TIP-Frage springen" display="↑ S4 Nr. 3"/>
    <hyperlink ref="E19" location="'Prüfprotokoll'!D9" tooltip="Zur TIP-Frage springen" display="↑ S4 Nr. 3"/>
    <hyperlink ref="E27" location="'Prüfprotokoll'!D9" tooltip="Zur TIP-Frage springen" display="↑ S4 Nr. 3"/>
    <hyperlink ref="E28" location="'Prüfprotokoll'!D7" tooltip="Zur TIP-Frage springen" display="↑ S4 Nr. 1, 3"/>
    <hyperlink ref="E31" location="'Prüfprotokoll'!D34" tooltip="Zur zugehörigen Prüfanleitung springen" display="↓ PA 15"/>
    <hyperlink ref="E32" location="'Prüfprotokoll'!D34" tooltip="Zur zugehörigen Prüfanleitung springen" display="↓ PA 15"/>
    <hyperlink ref="E34" location="'Prüfprotokoll'!D31" tooltip="Zur TIP-Frage springen" display="↑ S4 Nr. 5, 6"/>
  </hyperlinks>
  <pageMargins left="0.4" right="0.4" top="0.6" bottom="0.6" header="0.3" footer="0.3"/>
  <pageSetup paperSize="9" fitToHeight="0" orientation="landscape"/>
  <headerFooter>
    <oddHeader>&amp;L&amp;8Hitachi Rail · Interne Abnahmeprüfung&amp;R&amp;8Prüfprotokoll Achszähler (AzLM) (S4 + Prüfanleitung)</oddHeader>
    <oddFooter>&amp;L&amp;8Template Ausgabe 01&amp;R&amp;8Seite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B2:I33"/>
  <sheetViews>
    <sheetView workbookViewId="0"/>
  </sheetViews>
  <sheetFormatPr defaultRowHeight="15"/>
  <cols>
    <col min="1" max="1" width="3.7109375" customWidth="1"/>
    <col min="2" max="2" width="48.7109375" customWidth="1"/>
    <col min="3" max="9" width="11.7109375" customWidth="1"/>
  </cols>
  <sheetData>
    <row r="2" spans="2:9">
      <c r="B2" s="12" t="s">
        <v>109</v>
      </c>
    </row>
    <row r="4" spans="2:9">
      <c r="B4" s="5" t="s">
        <v>110</v>
      </c>
      <c r="C4" s="5" t="s">
        <v>14</v>
      </c>
      <c r="D4" s="5" t="s">
        <v>27</v>
      </c>
      <c r="E4" s="5" t="s">
        <v>7</v>
      </c>
      <c r="F4" s="5" t="s">
        <v>8</v>
      </c>
      <c r="G4" s="5" t="s">
        <v>9</v>
      </c>
      <c r="H4" s="5" t="s">
        <v>111</v>
      </c>
      <c r="I4" s="5" t="s">
        <v>112</v>
      </c>
    </row>
    <row r="5" spans="2:9">
      <c r="B5" s="11" t="s">
        <v>12</v>
      </c>
      <c r="C5" s="20">
        <f>COUNTIF('Prüfprotokoll'!B6:B19,"TIP S4")</f>
        <v>0</v>
      </c>
      <c r="D5" s="20">
        <f>COUNTIF('Prüfprotokoll'!B6:B19,"PA")</f>
        <v>0</v>
      </c>
      <c r="E5" s="20">
        <f>COUNTIF('Prüfprotokoll'!F6:F19,TRUE)</f>
        <v>0</v>
      </c>
      <c r="F5" s="20">
        <f>COUNTIF('Prüfprotokoll'!G6:G19,TRUE)</f>
        <v>0</v>
      </c>
      <c r="G5" s="20">
        <f>COUNTIF('Prüfprotokoll'!H6:H19,TRUE)</f>
        <v>0</v>
      </c>
      <c r="H5" s="20">
        <f>COUNTIF('Prüfprotokoll'!I6:I19,"offen")</f>
        <v>0</v>
      </c>
      <c r="I5" s="20">
        <f>COUNTIF('Prüfprotokoll'!I6:I19,"mehrfach!")</f>
        <v>0</v>
      </c>
    </row>
    <row r="6" spans="2:9">
      <c r="B6" s="11" t="s">
        <v>47</v>
      </c>
      <c r="C6" s="20">
        <f>COUNTIF('Prüfprotokoll'!B21:B34,"TIP S4")</f>
        <v>0</v>
      </c>
      <c r="D6" s="20">
        <f>COUNTIF('Prüfprotokoll'!B21:B34,"PA")</f>
        <v>0</v>
      </c>
      <c r="E6" s="20">
        <f>COUNTIF('Prüfprotokoll'!F21:F34,TRUE)</f>
        <v>0</v>
      </c>
      <c r="F6" s="20">
        <f>COUNTIF('Prüfprotokoll'!G21:G34,TRUE)</f>
        <v>0</v>
      </c>
      <c r="G6" s="20">
        <f>COUNTIF('Prüfprotokoll'!H21:H34,TRUE)</f>
        <v>0</v>
      </c>
      <c r="H6" s="20">
        <f>COUNTIF('Prüfprotokoll'!I21:I34,"offen")</f>
        <v>0</v>
      </c>
      <c r="I6" s="20">
        <f>COUNTIF('Prüfprotokoll'!I21:I34,"mehrfach!")</f>
        <v>0</v>
      </c>
    </row>
    <row r="7" spans="2:9">
      <c r="B7" s="6" t="s">
        <v>113</v>
      </c>
      <c r="C7" s="24">
        <f>SUM(C5:C6)</f>
        <v>0</v>
      </c>
      <c r="D7" s="24">
        <f>SUM(D5:D6)</f>
        <v>0</v>
      </c>
      <c r="E7" s="24">
        <f>SUM(E5:E6)</f>
        <v>0</v>
      </c>
      <c r="F7" s="24">
        <f>SUM(F5:F6)</f>
        <v>0</v>
      </c>
      <c r="G7" s="24">
        <f>SUM(G5:G6)</f>
        <v>0</v>
      </c>
      <c r="H7" s="24">
        <f>SUM(H5:H6)</f>
        <v>0</v>
      </c>
      <c r="I7" s="24">
        <f>SUM(I5:I6)</f>
        <v>0</v>
      </c>
    </row>
    <row r="9" spans="2:9">
      <c r="B9" s="25" t="s">
        <v>114</v>
      </c>
      <c r="C9" s="20">
        <f>COUNTIFS('Prüfprotokoll'!B5:B34,"TIP S4",'Prüfprotokoll'!G5:G34,TRUE)</f>
        <v>0</v>
      </c>
    </row>
    <row r="10" spans="2:9">
      <c r="B10" s="25" t="s">
        <v>115</v>
      </c>
      <c r="C10" s="20">
        <f>COUNTIFS('Prüfprotokoll'!B5:B34,"PA",'Prüfprotokoll'!G5:G34,TRUE)</f>
        <v>0</v>
      </c>
    </row>
    <row r="12" spans="2:9">
      <c r="B12" s="5" t="s">
        <v>116</v>
      </c>
      <c r="C12" s="5"/>
      <c r="D12" s="5"/>
      <c r="E12" s="5"/>
      <c r="F12" s="5"/>
      <c r="G12" s="5"/>
      <c r="H12" s="5"/>
      <c r="I12" s="5"/>
    </row>
    <row r="13" spans="2:9">
      <c r="B13" s="6" t="s">
        <v>117</v>
      </c>
      <c r="C13" s="25">
        <f>IF(AND(H7=0,I7=0),"Ja – alle Fragen beantwortet","Nein – "&amp;H7&amp;" offen, "&amp;I7&amp;" mehrfach angehakt")</f>
        <v>0</v>
      </c>
      <c r="D13" s="11"/>
      <c r="E13" s="11"/>
      <c r="F13" s="11"/>
      <c r="G13" s="11"/>
      <c r="H13" s="11"/>
      <c r="I13" s="11"/>
    </row>
    <row r="15" spans="2:9">
      <c r="B15" s="5" t="s">
        <v>118</v>
      </c>
      <c r="C15" s="5"/>
      <c r="D15" s="5"/>
      <c r="E15" s="5"/>
      <c r="F15" s="5"/>
      <c r="G15" s="5"/>
      <c r="H15" s="5"/>
      <c r="I15" s="5"/>
    </row>
    <row r="16" spans="2:9">
      <c r="B16" s="6" t="s">
        <v>119</v>
      </c>
      <c r="C16" s="6" t="s">
        <v>120</v>
      </c>
      <c r="D16" s="6" t="s">
        <v>3</v>
      </c>
      <c r="E16" s="6" t="s">
        <v>121</v>
      </c>
      <c r="F16" s="6"/>
      <c r="G16" s="6" t="s">
        <v>122</v>
      </c>
      <c r="H16" s="6"/>
      <c r="I16" s="6" t="s">
        <v>123</v>
      </c>
    </row>
    <row r="17" spans="2:9">
      <c r="B17" s="11"/>
      <c r="C17" s="11"/>
      <c r="D17" s="11"/>
      <c r="E17" s="11"/>
      <c r="F17" s="11"/>
      <c r="G17" s="11"/>
      <c r="H17" s="11"/>
      <c r="I17" s="26" t="b">
        <v>0</v>
      </c>
    </row>
    <row r="18" spans="2:9">
      <c r="B18" s="11"/>
      <c r="C18" s="11"/>
      <c r="D18" s="11"/>
      <c r="E18" s="11"/>
      <c r="F18" s="11"/>
      <c r="G18" s="11"/>
      <c r="H18" s="11"/>
      <c r="I18" s="26" t="b">
        <v>0</v>
      </c>
    </row>
    <row r="19" spans="2:9">
      <c r="B19" s="11"/>
      <c r="C19" s="11"/>
      <c r="D19" s="11"/>
      <c r="E19" s="11"/>
      <c r="F19" s="11"/>
      <c r="G19" s="11"/>
      <c r="H19" s="11"/>
      <c r="I19" s="26" t="b">
        <v>0</v>
      </c>
    </row>
    <row r="20" spans="2:9">
      <c r="B20" s="11"/>
      <c r="C20" s="11"/>
      <c r="D20" s="11"/>
      <c r="E20" s="11"/>
      <c r="F20" s="11"/>
      <c r="G20" s="11"/>
      <c r="H20" s="11"/>
      <c r="I20" s="26" t="b">
        <v>0</v>
      </c>
    </row>
    <row r="21" spans="2:9">
      <c r="B21" s="11"/>
      <c r="C21" s="11"/>
      <c r="D21" s="11"/>
      <c r="E21" s="11"/>
      <c r="F21" s="11"/>
      <c r="G21" s="11"/>
      <c r="H21" s="11"/>
      <c r="I21" s="26" t="b">
        <v>0</v>
      </c>
    </row>
    <row r="22" spans="2:9">
      <c r="B22" s="11"/>
      <c r="C22" s="11"/>
      <c r="D22" s="11"/>
      <c r="E22" s="11"/>
      <c r="F22" s="11"/>
      <c r="G22" s="11"/>
      <c r="H22" s="11"/>
      <c r="I22" s="26" t="b">
        <v>0</v>
      </c>
    </row>
    <row r="23" spans="2:9">
      <c r="B23" s="11"/>
      <c r="C23" s="11"/>
      <c r="D23" s="11"/>
      <c r="E23" s="11"/>
      <c r="F23" s="11"/>
      <c r="G23" s="11"/>
      <c r="H23" s="11"/>
      <c r="I23" s="26" t="b">
        <v>0</v>
      </c>
    </row>
    <row r="24" spans="2:9">
      <c r="B24" s="11"/>
      <c r="C24" s="11"/>
      <c r="D24" s="11"/>
      <c r="E24" s="11"/>
      <c r="F24" s="11"/>
      <c r="G24" s="11"/>
      <c r="H24" s="11"/>
      <c r="I24" s="26" t="b">
        <v>0</v>
      </c>
    </row>
    <row r="25" spans="2:9">
      <c r="B25" s="11"/>
      <c r="C25" s="11"/>
      <c r="D25" s="11"/>
      <c r="E25" s="11"/>
      <c r="F25" s="11"/>
      <c r="G25" s="11"/>
      <c r="H25" s="11"/>
      <c r="I25" s="26" t="b">
        <v>0</v>
      </c>
    </row>
    <row r="26" spans="2:9">
      <c r="B26" s="11"/>
      <c r="C26" s="11"/>
      <c r="D26" s="11"/>
      <c r="E26" s="11"/>
      <c r="F26" s="11"/>
      <c r="G26" s="11"/>
      <c r="H26" s="11"/>
      <c r="I26" s="26" t="b">
        <v>0</v>
      </c>
    </row>
    <row r="28" spans="2:9">
      <c r="B28" s="5" t="s">
        <v>124</v>
      </c>
      <c r="C28" s="5"/>
      <c r="D28" s="5"/>
      <c r="E28" s="5"/>
      <c r="F28" s="5"/>
      <c r="G28" s="5"/>
      <c r="H28" s="5"/>
      <c r="I28" s="5"/>
    </row>
    <row r="29" spans="2:9">
      <c r="B29" s="6"/>
      <c r="C29" s="6" t="s">
        <v>87</v>
      </c>
      <c r="D29" s="6"/>
      <c r="E29" s="6"/>
      <c r="F29" s="6"/>
      <c r="G29" s="6" t="s">
        <v>125</v>
      </c>
      <c r="H29" s="6"/>
      <c r="I29" s="6"/>
    </row>
    <row r="30" spans="2:9" ht="26" customHeight="1">
      <c r="B30" s="6" t="s">
        <v>126</v>
      </c>
      <c r="C30" s="7"/>
      <c r="D30" s="7"/>
      <c r="E30" s="7"/>
      <c r="F30" s="7"/>
      <c r="G30" s="7"/>
      <c r="H30" s="7"/>
      <c r="I30" s="7"/>
    </row>
    <row r="31" spans="2:9" ht="26" customHeight="1">
      <c r="B31" s="6" t="s">
        <v>127</v>
      </c>
      <c r="C31" s="7"/>
      <c r="D31" s="7"/>
      <c r="E31" s="7"/>
      <c r="F31" s="7"/>
      <c r="G31" s="7"/>
      <c r="H31" s="7"/>
      <c r="I31" s="7"/>
    </row>
    <row r="32" spans="2:9" ht="26" customHeight="1">
      <c r="B32" s="6" t="s">
        <v>88</v>
      </c>
      <c r="C32" s="7"/>
      <c r="D32" s="7"/>
      <c r="E32" s="7"/>
      <c r="F32" s="7"/>
      <c r="G32" s="7"/>
      <c r="H32" s="7"/>
      <c r="I32" s="7"/>
    </row>
    <row r="33" spans="2:9" ht="26" customHeight="1">
      <c r="B33" s="6" t="s">
        <v>128</v>
      </c>
      <c r="C33" s="7"/>
      <c r="D33" s="7"/>
      <c r="E33" s="7"/>
      <c r="F33" s="7"/>
      <c r="G33" s="7"/>
      <c r="H33" s="7"/>
      <c r="I33" s="7"/>
    </row>
  </sheetData>
  <mergeCells count="36">
    <mergeCell ref="B12:I12"/>
    <mergeCell ref="C13:I13"/>
    <mergeCell ref="B15:I15"/>
    <mergeCell ref="E16:F16"/>
    <mergeCell ref="G16:H16"/>
    <mergeCell ref="E17:F17"/>
    <mergeCell ref="G17:H17"/>
    <mergeCell ref="E18:F18"/>
    <mergeCell ref="G18:H18"/>
    <mergeCell ref="E19:F19"/>
    <mergeCell ref="G19:H19"/>
    <mergeCell ref="E20:F20"/>
    <mergeCell ref="G20:H20"/>
    <mergeCell ref="E21:F21"/>
    <mergeCell ref="G21:H21"/>
    <mergeCell ref="E22:F22"/>
    <mergeCell ref="G22:H22"/>
    <mergeCell ref="E23:F23"/>
    <mergeCell ref="G23:H23"/>
    <mergeCell ref="E24:F24"/>
    <mergeCell ref="G24:H24"/>
    <mergeCell ref="E25:F25"/>
    <mergeCell ref="G25:H25"/>
    <mergeCell ref="E26:F26"/>
    <mergeCell ref="G26:H26"/>
    <mergeCell ref="B28:I28"/>
    <mergeCell ref="C29:F29"/>
    <mergeCell ref="G29:I29"/>
    <mergeCell ref="C30:F30"/>
    <mergeCell ref="G30:I30"/>
    <mergeCell ref="C31:F31"/>
    <mergeCell ref="G31:I31"/>
    <mergeCell ref="C32:F32"/>
    <mergeCell ref="G32:I32"/>
    <mergeCell ref="C33:F33"/>
    <mergeCell ref="G33:I33"/>
  </mergeCells>
  <pageMargins left="0.7" right="0.7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Deckblatt</vt:lpstr>
      <vt:lpstr>Prüfprotokoll</vt:lpstr>
      <vt:lpstr>Ergebnis</vt:lpstr>
      <vt:lpstr>Prüfprotokoll!Print_Titles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Prüfprotokoll Achszähler (AzLM) – TIP S4 – Software AzLM</dc:title>
  <dc:creator>Hitachi Rail – Interne Abnahmeprüfung</dc:creator>
  <cp:lastModifiedBy>Hitachi Rail – Interne Abnahmeprüfung</cp:lastModifiedBy>
  <dcterms:created xsi:type="dcterms:W3CDTF">2026-10-08T15:29:09Z</dcterms:created>
  <dcterms:modified xsi:type="dcterms:W3CDTF">2026-10-08T15:29:09Z</dcterms:modified>
</cp:coreProperties>
</file>