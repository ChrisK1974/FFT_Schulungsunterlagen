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24226"/>
  <xr:revisionPtr revIDLastSave="3" documentId="11_DB2B1A994781D7AF0F47A8E6F946D5D06F97C7B8" xr6:coauthVersionLast="47" xr6:coauthVersionMax="47" xr10:uidLastSave="{7184676E-F1AA-415F-BE4B-306DA3E56260}"/>
  <bookViews>
    <workbookView xWindow="240" yWindow="15" windowWidth="16095" windowHeight="9660" activeTab="1" xr2:uid="{00000000-000D-0000-FFFF-FFFF00000000}"/>
  </bookViews>
  <sheets>
    <sheet name="Deckblatt" sheetId="1" r:id="rId1"/>
    <sheet name="Prüfprotokoll" sheetId="2" r:id="rId2"/>
    <sheet name="Ergebnis" sheetId="3" r:id="rId3"/>
  </sheets>
  <definedNames>
    <definedName name="_xlnm._FilterDatabase" localSheetId="1" hidden="1">Prüfprotokoll!$A$4:$J$192</definedName>
    <definedName name="_xlnm.Print_Titles" localSheetId="1">Prüfprotokoll!$4:$4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3" l="1"/>
  <c r="C14" i="3"/>
  <c r="G11" i="3"/>
  <c r="F11" i="3"/>
  <c r="E11" i="3"/>
  <c r="D11" i="3"/>
  <c r="C11" i="3"/>
  <c r="G10" i="3"/>
  <c r="F10" i="3"/>
  <c r="E10" i="3"/>
  <c r="D10" i="3"/>
  <c r="C10" i="3"/>
  <c r="G9" i="3"/>
  <c r="F9" i="3"/>
  <c r="E9" i="3"/>
  <c r="D9" i="3"/>
  <c r="C9" i="3"/>
  <c r="G8" i="3"/>
  <c r="F8" i="3"/>
  <c r="E8" i="3"/>
  <c r="D8" i="3"/>
  <c r="C8" i="3"/>
  <c r="G7" i="3"/>
  <c r="F7" i="3"/>
  <c r="E7" i="3"/>
  <c r="D7" i="3"/>
  <c r="C7" i="3"/>
  <c r="G6" i="3"/>
  <c r="F6" i="3"/>
  <c r="E6" i="3"/>
  <c r="D6" i="3"/>
  <c r="C6" i="3"/>
  <c r="G5" i="3"/>
  <c r="G12" i="3" s="1"/>
  <c r="F5" i="3"/>
  <c r="F12" i="3" s="1"/>
  <c r="E5" i="3"/>
  <c r="E12" i="3" s="1"/>
  <c r="D5" i="3"/>
  <c r="D12" i="3" s="1"/>
  <c r="C5" i="3"/>
  <c r="C12" i="3" s="1"/>
  <c r="I192" i="2"/>
  <c r="I190" i="2"/>
  <c r="I189" i="2"/>
  <c r="I188" i="2"/>
  <c r="I186" i="2"/>
  <c r="I183" i="2"/>
  <c r="I182" i="2"/>
  <c r="I181" i="2"/>
  <c r="I180" i="2"/>
  <c r="I179" i="2"/>
  <c r="I176" i="2"/>
  <c r="I175" i="2"/>
  <c r="I174" i="2"/>
  <c r="I173" i="2"/>
  <c r="I172" i="2"/>
  <c r="I171" i="2"/>
  <c r="I170" i="2"/>
  <c r="I166" i="2"/>
  <c r="I165" i="2"/>
  <c r="I164" i="2"/>
  <c r="I163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7" i="2"/>
  <c r="I136" i="2"/>
  <c r="I135" i="2"/>
  <c r="I134" i="2"/>
  <c r="I132" i="2"/>
  <c r="I131" i="2"/>
  <c r="I129" i="2"/>
  <c r="I127" i="2"/>
  <c r="I125" i="2"/>
  <c r="I124" i="2"/>
  <c r="I122" i="2"/>
  <c r="I120" i="2"/>
  <c r="I118" i="2"/>
  <c r="I117" i="2"/>
  <c r="I116" i="2"/>
  <c r="I114" i="2"/>
  <c r="I113" i="2"/>
  <c r="I111" i="2"/>
  <c r="I110" i="2"/>
  <c r="I108" i="2"/>
  <c r="I107" i="2"/>
  <c r="I104" i="2"/>
  <c r="I103" i="2"/>
  <c r="I100" i="2"/>
  <c r="I99" i="2"/>
  <c r="I98" i="2"/>
  <c r="I96" i="2"/>
  <c r="I94" i="2"/>
  <c r="I92" i="2"/>
  <c r="I91" i="2"/>
  <c r="I89" i="2"/>
  <c r="I87" i="2"/>
  <c r="I86" i="2"/>
  <c r="I84" i="2"/>
  <c r="I83" i="2"/>
  <c r="I81" i="2"/>
  <c r="I80" i="2"/>
  <c r="I79" i="2"/>
  <c r="I78" i="2"/>
  <c r="I77" i="2"/>
  <c r="I76" i="2"/>
  <c r="I75" i="2"/>
  <c r="I74" i="2"/>
  <c r="I72" i="2"/>
  <c r="I71" i="2"/>
  <c r="I70" i="2"/>
  <c r="I68" i="2"/>
  <c r="I67" i="2"/>
  <c r="I66" i="2"/>
  <c r="I65" i="2"/>
  <c r="I64" i="2"/>
  <c r="I62" i="2"/>
  <c r="I60" i="2"/>
  <c r="I59" i="2"/>
  <c r="I57" i="2"/>
  <c r="I56" i="2"/>
  <c r="I55" i="2"/>
  <c r="I53" i="2"/>
  <c r="I52" i="2"/>
  <c r="I50" i="2"/>
  <c r="I49" i="2"/>
  <c r="I48" i="2"/>
  <c r="I47" i="2"/>
  <c r="I46" i="2"/>
  <c r="I45" i="2"/>
  <c r="I44" i="2"/>
  <c r="I43" i="2"/>
  <c r="I41" i="2"/>
  <c r="I40" i="2"/>
  <c r="I39" i="2"/>
  <c r="I38" i="2"/>
  <c r="I36" i="2"/>
  <c r="I35" i="2"/>
  <c r="I34" i="2"/>
  <c r="I33" i="2"/>
  <c r="I32" i="2"/>
  <c r="I31" i="2"/>
  <c r="I30" i="2"/>
  <c r="I29" i="2"/>
  <c r="I28" i="2"/>
  <c r="I26" i="2"/>
  <c r="I25" i="2"/>
  <c r="I24" i="2"/>
  <c r="I22" i="2"/>
  <c r="I21" i="2"/>
  <c r="I20" i="2"/>
  <c r="I17" i="2"/>
  <c r="I16" i="2"/>
  <c r="I15" i="2"/>
  <c r="I14" i="2"/>
  <c r="I13" i="2"/>
  <c r="I12" i="2"/>
  <c r="I11" i="2"/>
  <c r="I10" i="2"/>
  <c r="I7" i="2"/>
  <c r="I6" i="2"/>
  <c r="I5" i="3" l="1"/>
  <c r="H5" i="3"/>
  <c r="I6" i="3"/>
  <c r="H6" i="3"/>
  <c r="I7" i="3"/>
  <c r="H7" i="3"/>
  <c r="I8" i="3"/>
  <c r="H8" i="3"/>
  <c r="I9" i="3"/>
  <c r="H9" i="3"/>
  <c r="I10" i="3"/>
  <c r="H10" i="3"/>
  <c r="I11" i="3"/>
  <c r="H11" i="3"/>
  <c r="H12" i="3" l="1"/>
  <c r="I12" i="3"/>
  <c r="C19" i="3" l="1"/>
  <c r="C18" i="3"/>
</calcChain>
</file>

<file path=xl/sharedStrings.xml><?xml version="1.0" encoding="utf-8"?>
<sst xmlns="http://schemas.openxmlformats.org/spreadsheetml/2006/main" count="573" uniqueCount="376">
  <si>
    <t>Hitachi Rail</t>
  </si>
  <si>
    <t>Interne Abnahmeprüfung (FFT) · ITC</t>
  </si>
  <si>
    <t>Prüfprotokoll Bedienoberfläche</t>
  </si>
  <si>
    <t>TIP S3 – Software Bedienoberfläche und Design Styleguide Lupe/BerÜ</t>
  </si>
  <si>
    <t>ESTW L90 · Domestic · DB InfraGO</t>
  </si>
  <si>
    <t>Projektdaten (gelbe Felder ausfüllen)</t>
  </si>
  <si>
    <t>Projektbezeichnung / PSP</t>
  </si>
  <si>
    <t>Stellwerk (UZ / ESTW-Z, Ril100)</t>
  </si>
  <si>
    <t>Bauzustand / AZ-Nr.</t>
  </si>
  <si>
    <t>LBS-Version</t>
  </si>
  <si>
    <t>Geprüfte Lupenbilder (Bezeichner)</t>
  </si>
  <si>
    <t>Geprüfte BerÜ-Bilder (Bezeichner)</t>
  </si>
  <si>
    <t>Neuanlage / Bauzustand (Differenz)</t>
  </si>
  <si>
    <t>Prüfer</t>
  </si>
  <si>
    <t>Datum</t>
  </si>
  <si>
    <t>Herkunft der Fragen</t>
  </si>
  <si>
    <t>TIP S3</t>
  </si>
  <si>
    <t>Frage aus dem TIP S3 – Software Bedienoberfläche. Zeile hellorange. Nummer = Fragennummer im TIP S3, Ergebnis 1:1 ins TIP übertragen.</t>
  </si>
  <si>
    <t>SG</t>
  </si>
  <si>
    <t>Reine Styleguide-Frage (3JC 1990 25312 ASAFC). Zeile weiß. Die SG-Fragen eines Abschnitts bilden die Antwort auf TIP S3 Nr. 8 (Lupe) bzw. Nr. 10 (BerÜ).</t>
  </si>
  <si>
    <t>Bewertung</t>
  </si>
  <si>
    <t>i. O. – in Ordnung</t>
  </si>
  <si>
    <t>TIP S3: Ja</t>
  </si>
  <si>
    <t>Darstellung/Funktion entspricht der Vorgabe.</t>
  </si>
  <si>
    <t>n. i. O. – nicht in Ordnung</t>
  </si>
  <si>
    <t>TIP S3: Nein</t>
  </si>
  <si>
    <t>Abweichung im Prüfbuch erfassen, Prüfbuch-Nr. in „Bemerkung“ eintragen.</t>
  </si>
  <si>
    <t>n. z. – nicht zutreffend</t>
  </si>
  <si>
    <t>TIP S3: als n. z. kennzeichnen</t>
  </si>
  <si>
    <t>Sachverhalt kommt im Projekt nicht vor; kurz begründen.</t>
  </si>
  <si>
    <t>Bedienung der Excel-Datei</t>
  </si>
  <si>
    <t>•  Je Frage genau ein Kästchen anhaken. Die Spalte „Status“ zeigt „offen“, „erledigt“, „n. i. O.“ oder „mehrfach!“ (mehr als ein Haken).</t>
  </si>
  <si>
    <t>•  Spalte „Bezug (Link)“: Klick springt zur zugehörigen Styleguide- bzw. TIP-S3-Frage (↓ = weiter unten, ↑ = weiter oben). Zurück mit Strg + G / F5 oder über den Rücksprung-Link der Zielzeile.</t>
  </si>
  <si>
    <t>•  Über den Filter in Spalte „Herkunft“ lassen sich nur TIP-S3- oder nur SG-Fragen anzeigen.</t>
  </si>
  <si>
    <t>•  TIP-Textfragen (Nr. 36, 44): Ausgabe und Datum der Planbasisliste ins gelbe Feld eintragen.</t>
  </si>
  <si>
    <t>•  Geprüft wird jedes Lupen- und BerÜ-Bild. Eine Frage ist erst „i. O.“, wenn sie für alle Bilder erfüllt ist. Abgestimmte Kundenwünsche: „i. O.“ mit Verweis auf die Abstimmung.</t>
  </si>
  <si>
    <t>•  Die Kästchen sind Excel-Zellkontrollkästchen (Microsoft 365). In älteren Excel-Versionen erscheinen sie als WAHR/FALSCH; dort Wert per Eingabe ändern.</t>
  </si>
  <si>
    <t>Prüfprotokoll Bedienoberfläche – TIP S3 und Design Styleguide</t>
  </si>
  <si>
    <t>ESTW L90 · DB InfraGO · Prüfgrundlagen: TIP S3 (Template-Ausg. 01), Design Styleguide 3JC 1990 25312 ASAFC Rev. 04 · Projektdaten und Anleitung: Blatt „Deckblatt“</t>
  </si>
  <si>
    <t>Nr.</t>
  </si>
  <si>
    <t>Herkunft</t>
  </si>
  <si>
    <t>TIP-Nr. / SG-Kap.</t>
  </si>
  <si>
    <t>Prüffrage</t>
  </si>
  <si>
    <t>Bezug (Link)</t>
  </si>
  <si>
    <t>i. O.</t>
  </si>
  <si>
    <t>n. i. O.</t>
  </si>
  <si>
    <t>n. z.</t>
  </si>
  <si>
    <t>Status</t>
  </si>
  <si>
    <t>Bemerkung / Prüfbuch-Nr.</t>
  </si>
  <si>
    <t>2  Allgemeine Festlegungen</t>
  </si>
  <si>
    <t>3</t>
  </si>
  <si>
    <t>Sind Abweichungen vom Styleguide auf Kundenwunsch (Abnahmeprüfer) mit dem Ril-/LH-Autor abgestimmt und dokumentiert?</t>
  </si>
  <si>
    <t>Bestandsanlage: Ist festgelegt, ob der Styleguide in diesem Bauzustand anzuwenden ist (größerer Umbau bzw. Releasewechsel) oder die bisherige Darstellung beibehalten wird?</t>
  </si>
  <si>
    <t>3  Lupenbilder</t>
  </si>
  <si>
    <t>TIP S3 – Lupe</t>
  </si>
  <si>
    <t>Nr. 1</t>
  </si>
  <si>
    <t>Sind alle Elemente des Stellwerks vorhanden, richtig angeordnet und korrekt bezeichnet?</t>
  </si>
  <si>
    <t>Nr. 2</t>
  </si>
  <si>
    <t>Sind die Konnektoren fortlaufender Gleise innerhalb des Lupenbildes eindeutig mit Ziffern und zu benachbarten Bildern eindeutig mit großen Buchstaben und dem Bildbezeichner bezeichnet?</t>
  </si>
  <si>
    <t>Nr. 3</t>
  </si>
  <si>
    <t>Sind alle Isolierstöße korrekt dargestellt?</t>
  </si>
  <si>
    <t>Nr. 4</t>
  </si>
  <si>
    <t>Ist bei gemeinsam isolierten Weichen die Weiche mit AZG-Befehl mit einem * gekennzeichnet?</t>
  </si>
  <si>
    <t>Nr. 5</t>
  </si>
  <si>
    <t>Ist bei allen Gleisen ein Verschlussmelder dargestellt?</t>
  </si>
  <si>
    <t>↓ SG 3.1.11</t>
  </si>
  <si>
    <t>Nr. 6</t>
  </si>
  <si>
    <t>Sind alle notwendigen Bahnhofszeilen dargestellt?</t>
  </si>
  <si>
    <t>Nr. 7</t>
  </si>
  <si>
    <t>Ist bei Kreuzungsweichen (EKW oder DKW) der Weichenteil mit Merkhinweisen mit * gekennzeichnet?</t>
  </si>
  <si>
    <t>Nr. 8</t>
  </si>
  <si>
    <t>Entspricht der Aufbau dem Design Style Guide? (Ergebnis aus den SG-Fragen dieses Abschnitts)</t>
  </si>
  <si>
    <t>↓ SG 3.1</t>
  </si>
  <si>
    <t>Styleguide Kap. 3.1 – Lupenbilder</t>
  </si>
  <si>
    <t>3.1.1  Bereichsende ESTW-Zentralblock</t>
  </si>
  <si>
    <t>3.1.1</t>
  </si>
  <si>
    <t>Sind Start-/Zielpunkte ohne Signal bei zweigleisigen Strecken – soweit möglich – in Fahrtrichtung rechts vom Gleis angeordnet (Ril 819.0603)?</t>
  </si>
  <si>
    <t>Sind kombinierte Blockstart-/Zielpunkte auf der Gleisseite dargestellt, auf der auch die Start-/Zielsignale (ESig/Zbk/LBK/BK) dargestellt sind (LH 415.9212_A1-430)?</t>
  </si>
  <si>
    <t>Ist jeder Blockstartpunkt auf der Gleisseite des zugehörigen Zielsignals und jeder Blockzielpunkt auf der Gleisseite des zugehörigen Startsignals dargestellt, sodass Kreuzbedienungen vermieden werden?</t>
  </si>
  <si>
    <t>3.1.2  Bereichsende mit Bereichsgrenze vor dem Einfahrsignal</t>
  </si>
  <si>
    <t>3.1.2</t>
  </si>
  <si>
    <t>Wird bei einer Bereichsgrenze direkt vor dem Einfahrsignal die Gleisbelegung des letzten Streckengleisabschnitts übertragen und auf der Lupe dargestellt?</t>
  </si>
  <si>
    <t>Hat das Bereichsende den BHA-Befehl (Auflösung bei Störung der Datenverbindung zum Nachbarn), obwohl die Zentralblockfahrstraße zum Bereichsende nicht einstellbar ist?</t>
  </si>
  <si>
    <t>Liegt die Maustrefferfläche für die BHA-Bedienung auf der Bezeichnung des Bereichsendes?</t>
  </si>
  <si>
    <t>3.1.3  Anordnung von SM-Grenzen im ESTW-Zentralblock</t>
  </si>
  <si>
    <t>3.1.3</t>
  </si>
  <si>
    <t>Ist die Bezeichnung von Fahrstraßenzielen analog zu Signalelementen in Fahrtrichtung vor dem Symbol projektiert?</t>
  </si>
  <si>
    <t>Sind Fahrstraßenziele auf der Gleisseite dargestellt, auf der sich auch das Zielsignal befindet (Start-/Zielbedienung auf einer Gleisseite)?</t>
  </si>
  <si>
    <t>Sind nur bedienbare Teilfahrstraßen projektiert – über mindestens einen Gleisabschnitt oder vom Startsignal zu einem virtuellen Zielsignal?</t>
  </si>
  <si>
    <t>Steht ein Hauptsignal direkt an der SM-Grenze: Stellt sich die Teilfahrstraße von der SM-Grenze zum Zielsignal automatisch ein, ohne dass dafür Bedienelemente projektiert sind?</t>
  </si>
  <si>
    <t>3.1.3.1</t>
  </si>
  <si>
    <t>SM-Grenze vor bzw. hinter einem Hauptsignal: Sind die Fahrstraßen in beiden Richtungen mit den vorgesehenen Start-/Zielbedienungen einstellbar und stellt sich die Blockfahrstraße von der SM-Grenze automatisch ein?</t>
  </si>
  <si>
    <t>3.1.3.2</t>
  </si>
  <si>
    <t>SM-Grenze vor einem Einfahr- oder Blocksignal, Darstellung auf einem Lupenbild: Entfällt der Elementbezeichner des Bereichsendes direkt vor dem Zielsignal?</t>
  </si>
  <si>
    <t>Darstellung auf zwei Lupenbildern: Sind alle Elementbezeichner der Bereichsenden projektiert, und entfällt bei Bezeichnern ohne Bedienhandlung das Symbol (blaues Dreieck)?</t>
  </si>
  <si>
    <t>3.1.3.3</t>
  </si>
  <si>
    <t>SM-Grenze zwischen zwei Gleisabschnitten ohne Signal: Sind die vorgesehenen Bedienhandlungen möglich, und ist die jeweils erste Zentralblockfahrstraße nicht kommandierbar?</t>
  </si>
  <si>
    <t>3.1.3.4</t>
  </si>
  <si>
    <t>SM-Grenze zwischen zwei Hauptsignalen (Signale an EAMs unterschiedlicher SMs): Ist die Darstellung ohne Fuß-an-Fuß-Anordnung mit gemeinsamem Fahrwegmelder (FM) korrekt umgesetzt?</t>
  </si>
  <si>
    <t>3.1.4  Gleise über Lupenbildgrenze</t>
  </si>
  <si>
    <t>3.1.4</t>
  </si>
  <si>
    <t>Ist bei zwei- und mehrgleisigen Strecken das in Regelrichtung abgehende Streckengleis der Betriebsstelle zugeordnet und auf deren Lupenbild dargestellt?</t>
  </si>
  <si>
    <t>↓ TIP S3 Nr. 20</t>
  </si>
  <si>
    <t>Ist bei Elementen auf zwei Lupenbildern die Gleisbezeichnung nur auf dem Lupenbild projektiert, von dem aus die Bedienung möglich sein soll (Ril 819.0603)?</t>
  </si>
  <si>
    <t>Ist das GA-Feld (Merkhinweisart, Zugnummer) auf dem Lupenbild mit dem Startsignal der Folgefahrstraße(n) gespiegelt und mit Spiegelfeldbezeichner ohne Gleisbezeichnung dargestellt?</t>
  </si>
  <si>
    <t>Eingleisige Strecke: Ist das Lupenbild für den Elementbezeichner des Streckengleises in Planung/Projektierung festgelegt und die Spiegelung analog umgesetzt?</t>
  </si>
  <si>
    <t>3.1.5  Ausfahrziele</t>
  </si>
  <si>
    <t>3.1.5</t>
  </si>
  <si>
    <t>Sind Ausfahrziele in Fahrtrichtung rechts vom Gleis dargestellt (LH 415.9212)?</t>
  </si>
  <si>
    <t>3.1.5.1</t>
  </si>
  <si>
    <t>Zentralblock, zweigleisig mit GWB: Sind die Elementbezeichner der Ausfahrziele auf Höhe der Erlaubnismelder platziert und dient der BLÜM als Ausfahrzielbezeichner?</t>
  </si>
  <si>
    <t>Zentralblock, zweigleisig mit GWB: Erfolgen Fahrstraßenkommandos (FA, FHA …) auf dem Zielelement und Block-Elementkommandos (EA, EL …) auf dem Erlaubnismelder?</t>
  </si>
  <si>
    <t>3.1.5.2</t>
  </si>
  <si>
    <t>Zentralblock, zweigleisig ohne Erlaubniswechsel: Sind die virtuellen Start-/Zielelemente „AG“ und „MAPEG“ nur bei projektierten Ein-/Ausfahr-Zughilfsstraßen vorhanden?</t>
  </si>
  <si>
    <t>3.1.5.3</t>
  </si>
  <si>
    <t>Selbstblock, zweigleisig mit GWB: Sind die Elementbezeichner der Ausfahrziele auf Höhe der Erlaubnismelder platziert?</t>
  </si>
  <si>
    <t>3.1.5.4</t>
  </si>
  <si>
    <t>Selbstblock, zweigleisig ohne Erlaubniswechsel: Sind „AG“ und „PEG“ nur bei projektierten Ein-/Ausfahr-Zughilfsstraßen vorhanden?</t>
  </si>
  <si>
    <t>3.1.5.5</t>
  </si>
  <si>
    <t>Relaisblock, zweigleisig mit GWB: Sind die Ausfahrziele zwischen Einfahrsignal und Vorblockmelder platziert?</t>
  </si>
  <si>
    <t>3.1.5.6</t>
  </si>
  <si>
    <t>Relaisblock, zweigleisig ohne Erlaubniswechsel: Sind „AG“ und „PEG“ nur bei projektierten Ein-/Ausfahr-Zughilfsstraßen vorhanden?</t>
  </si>
  <si>
    <t>3.1.6  Gleisbezeichnung</t>
  </si>
  <si>
    <t>3.1.6</t>
  </si>
  <si>
    <t>Sind Gleisbezeichnungen in der Regel über dem Gleis dargestellt (Ausnahmen nur zur besseren Übersichtlichkeit)?</t>
  </si>
  <si>
    <t>Ist bei Gleisen mit GA-Feld die Bezeichnung über dem GA-Feld platziert und bleibt sie auch ohne angezeigte Zugnummer an dieser Stelle?</t>
  </si>
  <si>
    <t>3.1.7  Bahnsteige</t>
  </si>
  <si>
    <t>3.1.7</t>
  </si>
  <si>
    <t>Sind Bahnsteigsymbole über die gesamte Länge des GA-Feldes dargestellt (Gleisbezeichnung darf dann unter dem Gleis stehen)?</t>
  </si>
  <si>
    <t>Sind Bahnsteigkanten, wo vom Betrieb gewünscht, zusammenhängend dargestellt (über mehrere Gleisabschnitte bzw. zwei Lupen)?</t>
  </si>
  <si>
    <t>Ist bei Zugdeckungssignalen am Bahnsteig die Bahnsteigkante zur Darstellung des Signals unterbrochen?</t>
  </si>
  <si>
    <t>3.1.8  Virtuelle Fahrstraßenziele</t>
  </si>
  <si>
    <t>3.1.8</t>
  </si>
  <si>
    <t>Ist das virtuelle Rangierziel wie der Kopf eines Sperrsignals über dem Isolierstoß (in Fahrtrichtung hinter dem Isolierstoß) dargestellt – auch für die Gegenrichtung?</t>
  </si>
  <si>
    <t>3.1.8.1</t>
  </si>
  <si>
    <t>Ist das Fahrstraßenziel an einem Stumpfgleis auf Höhe des letzten Gleiselements am Gleisende dargestellt?</t>
  </si>
  <si>
    <t>3.1.9  Stellbarkeitsmelder für MW-Teilfahrstraße</t>
  </si>
  <si>
    <t>3.1.9</t>
  </si>
  <si>
    <t>Ist der MW-Stellbarkeitsmelder neben dem Signalfuß des Startsignals platziert (bei Platzmangel vor der Signalbezeichnung)?</t>
  </si>
  <si>
    <t>3.1.10  Betriebsstellenbezeichner mit Bedienfunktion</t>
  </si>
  <si>
    <t>3.1.10</t>
  </si>
  <si>
    <t>Entspricht der bedienbare Betriebsstellenbezeichner der Bildungsregel „Typ + Name 16 + (Ril100-Abk.) + Kennzahl(en)“ nach Ril 819.0603A01 und Ril100-Datenbank?</t>
  </si>
  <si>
    <t>↓ TIP S3 Nr. 26</t>
  </si>
  <si>
    <t>Ist der bedienbare Betriebsstellenbezeichner eingerahmt und die Ril100-Abkürzung in Klammern gesetzt?</t>
  </si>
  <si>
    <t>Werden nur Kennzahlen dargestellt, von denen mindestens ein bedienbares Element im Lupenbild abgebildet ist?</t>
  </si>
  <si>
    <t>Ist das „Mausparkhaus“ im Bereich des bedienbaren Bahnhofsbezeichners positioniert?</t>
  </si>
  <si>
    <t>Sind die Weichenlaufkettenmelder rechts vom bedienbaren Betriebsstellenbezeichner angeordnet?</t>
  </si>
  <si>
    <t>3.1.11  Betriebsstellenbezeichner ohne Bedienfunktion</t>
  </si>
  <si>
    <t>3.1.11</t>
  </si>
  <si>
    <t>Sind Betriebsstellen ohne bedienbaren Bezeichner mit Typ und Kurzname (Name 16), jedoch ohne Ril100-Bezeichnung und Kennzahlbereich dargestellt (Ril 819.0603, Abschn. 4 (11))?</t>
  </si>
  <si>
    <t>↑ TIP S3 Nr. 5</t>
  </si>
  <si>
    <t>3.1.11.1</t>
  </si>
  <si>
    <t>Gleis mit zwei „rechten Enden“: Ist der Verschlussmelder an geeigneter Stelle im Gleis platziert (nicht am Gleisende direkt neben einem zweiten Verschlussmelder)?</t>
  </si>
  <si>
    <t>3.1.11.2</t>
  </si>
  <si>
    <t>Gleis mit zwei „linken Enden“: Ist der Verschlussmelder am Ende mit Signal platziert bzw. – bei Signalen an beiden Enden – dort, wo sich die Gleisbezeichnung befindet?</t>
  </si>
  <si>
    <t>3.1.12  Symbolanordnung von Signalen</t>
  </si>
  <si>
    <t>3.1.12</t>
  </si>
  <si>
    <t>Sind Einfahr- und Blocksignale am Regelgleis sowie Ausfahr- und Zwischensignale (auch Gruppenausfahrsignale) rechts vom Gleis angeordnet?</t>
  </si>
  <si>
    <t>↓ TIP S3 Nr. 19</t>
  </si>
  <si>
    <t>Sind Sperr- und Zugdeckungssignale rechts vom Gleis angeordnet?</t>
  </si>
  <si>
    <t>Sind Blockkennzeichen und ETCS-Halt-Tafeln im Bahnhof und auf der Strecke am Regelgleis rechts vom Gleis angeordnet?</t>
  </si>
  <si>
    <t>Sind Vorsignale, Vorsignalwiederholer und alleinstehende Zusatzanzeiger am Regelgleis rechts vom Gleis angeordnet (auch innerhalb Abzw/Üst)?</t>
  </si>
  <si>
    <t>Sind Einfahr- und Blocksignale am Gegengleis links vom Gleis angeordnet?</t>
  </si>
  <si>
    <t>Sind Blockkennzeichen und ETCS-Halt-Tafeln am Gegengleis (Gegenrichtung) links vom Gleis angeordnet?</t>
  </si>
  <si>
    <t>Sind Vorsignale, Vorsignalwiederholer und alleinstehende Zusatzanzeiger am Gegengleis links vom Gleis angeordnet (auch innerhalb Abzw/Üst)?</t>
  </si>
  <si>
    <t>Entspricht die Darstellung alleinstehender Vorsignale und Vorsignalwiederholer dem LH 415.9212_A1-89?</t>
  </si>
  <si>
    <t>3.1.13  FPÜ-Element für Wirksamkeitsschaltung der Fü-Anlage (BÜ)</t>
  </si>
  <si>
    <t>3.1.13</t>
  </si>
  <si>
    <t>Ist das FPÜ-Element (THU-Kommando) der Wirksamkeitsschaltung an topologischer Position in Fahrtrichtung rechts vom Gleis (vor dem Blocksignal, nicht am BÜ) dargestellt?</t>
  </si>
  <si>
    <t>Erfolgt die THU-Bedienung bis LBS 4.1.x auf der Bezeichnung der Wirksamkeitsschaltung bzw. ab LBS 4.5.x auf der BÜ-Bezeichnung (WS-Bezeichnung dann nur statisch weißer Text)?</t>
  </si>
  <si>
    <t>3.1.14  Darstellung von Streckenschlüsselsperren</t>
  </si>
  <si>
    <t>3.1.14</t>
  </si>
  <si>
    <t>Sind Schlüsselsymbol und Bezeichnung der Streckenschlüsselsperre oberhalb des Gleises dargestellt?</t>
  </si>
  <si>
    <t>Ist die „Spitze“ der Schlüsselsperre (Verschlussmelder) in Richtung des Einfahrsignals positioniert?</t>
  </si>
  <si>
    <t>3.1.15  Platzierung von Anbietefeldern</t>
  </si>
  <si>
    <t>3.1.15</t>
  </si>
  <si>
    <t>Sind Anbietefelder an der Stellwerksgrenze vor dem ersten in Fahrtrichtung stehenden Hauptsignal in Höhe des ZN-Meldeortes des Streckengleises platziert?</t>
  </si>
  <si>
    <t>↓ TIP S3 Nr. 40</t>
  </si>
  <si>
    <t>3.1.16  Bezeichnung von Anbietefeldern</t>
  </si>
  <si>
    <t>3.1.16</t>
  </si>
  <si>
    <t>Erhalten Anbietefelder den Bedienbezeichner „Kennzahl + B + Streckengleis + A“ (z. B. 63B0104A) und den Oberflächenbezeichner „A + Streckengleis“ (z. B. A0104) gemäß Ril 819.0603A01?</t>
  </si>
  <si>
    <t>Bei Übertragung der Freimeldung über Zentralblock in eine andere UZ: Sind Oberflächen- und Bedienbezeichner von GA-Feld und Anbietefeld so gebildet, dass sie innerhalb der Steuerzentrale eindeutig sind?</t>
  </si>
  <si>
    <t>3.1.17  Spiegelfelder</t>
  </si>
  <si>
    <t>3.1.17</t>
  </si>
  <si>
    <t>Sind ZN-Spiegelfelder in der Lupe, soweit gefordert, gemäß Ril 819.0603 dargestellt?</t>
  </si>
  <si>
    <t>3.1.18  Bezeichnung der Nachbarbetriebsstellen</t>
  </si>
  <si>
    <t>3.1.18</t>
  </si>
  <si>
    <t>Sind Nachbarbetriebsstellen (Zugmeldestellen) mit statisch weißem Text „v/n“ + Name bezeichnet, ohne benachbarte Haltepunkte oder Awanst (LH 415.9212, A1)?</t>
  </si>
  <si>
    <t>3.1.19  Bezeichnung von Bahnübergängen</t>
  </si>
  <si>
    <t>3.1.19</t>
  </si>
  <si>
    <t>Sind Bahnübergänge entsprechend der Kilometrierung mit einer Nachkommastelle bezeichnet?</t>
  </si>
  <si>
    <t>Sind bei mehreren Bahnübergängen innerhalb von 100 m die Bezeichnungen mit maximal drei Nachkommastellen eindeutig projektiert?</t>
  </si>
  <si>
    <t>Bei BÜ über mehrere Strecken: Sind optionale Kilometerangaben als statisch weißer Text unter dem BÜ einheitlich für alle BÜ der Unterzentrale umgesetzt?</t>
  </si>
  <si>
    <t>4  Bereichsübersichtsbilder</t>
  </si>
  <si>
    <t>TIP S3 – BerÜ</t>
  </si>
  <si>
    <t>Nr. 9</t>
  </si>
  <si>
    <t>Sind die Konnektoren fortlaufender Gleise innerhalb des BerÜ-Bildes eindeutig mit Ziffern und zu benachbarten Bildern eindeutig mit kleinen Buchstaben und dem Bildbezeichner bezeichnet?</t>
  </si>
  <si>
    <t>↓ SG 3.2.6</t>
  </si>
  <si>
    <t>Nr. 10</t>
  </si>
  <si>
    <t>↓ SG 3.2</t>
  </si>
  <si>
    <t>Styleguide Kap. 3.2 – Bereichsübersichtsbilder</t>
  </si>
  <si>
    <t>3.2.1  Bezeichnung von GA-Feldern</t>
  </si>
  <si>
    <t>3.2.1</t>
  </si>
  <si>
    <t>Ist die Bezeichnung eines GA-Feldes im PT2 zentriert dargestellt?</t>
  </si>
  <si>
    <t>Ist das Anbietefeld linksbündig zur zugehörigen Gleisoptik projektiert?</t>
  </si>
  <si>
    <t>3.2.2  Bezeichnung BÜ</t>
  </si>
  <si>
    <t>3.2.2</t>
  </si>
  <si>
    <t>Ist die BÜ-Bezeichnung zentriert über dem BÜ-Symbol positioniert (bei direkt benachbarten BÜ abwechselnd darunter zulässig)?</t>
  </si>
  <si>
    <t>Ist eine optionale Kilometerangabe auf der BerÜ einheitlich mit der Lupe umgesetzt?</t>
  </si>
  <si>
    <t>3.2.3  Bahnsteige</t>
  </si>
  <si>
    <t>3.2.3</t>
  </si>
  <si>
    <t>Sind Bahnsteigkanten bei geteilten Zielgleisen, soweit vom Betrieb gewünscht, zusammenhängend dargestellt?</t>
  </si>
  <si>
    <t>Ist die Bahnsteigkante bei Zwischensignal, Zugdeckungssignal oder MW-Teilfahrstraßenstart zwischen den Zielgleisen unterbrochen, sodass sich Bahnsteig- und Signalsymbol nicht überlagern?</t>
  </si>
  <si>
    <t>3.2.4  Erlaubnismelder</t>
  </si>
  <si>
    <t>3.2.4</t>
  </si>
  <si>
    <t>Sind Erlaubnismelder bei zweigleisigen Strecken bezogen auf die Regelfahrtrichtung rechts (außerhalb) vom Gleis dargestellt (415.9212A02)?</t>
  </si>
  <si>
    <t>↓ TIP S3 Nr. 12</t>
  </si>
  <si>
    <t>Sind Erlaubnismelder bei eingleisigen Strecken in Richtung der Ausfahrt aus dem Bahnhof jeweils rechts vom Gleis positioniert?</t>
  </si>
  <si>
    <t>Werden Erlaubnismelder nur aus Platz- bzw. Übersichtsgründen oberhalb der Gleise dargestellt?</t>
  </si>
  <si>
    <t>3.2.5  Erlaubnisabhängiges Rangierziel</t>
  </si>
  <si>
    <t>3.2.5</t>
  </si>
  <si>
    <t>Ist das Symbol für ein erlaubnisabhängiges Rangierziel direkt vor dem Einfahrsignal positioniert?</t>
  </si>
  <si>
    <t>3.2.6  Konnektoren</t>
  </si>
  <si>
    <t>3.2.6</t>
  </si>
  <si>
    <t>Sind die Konnektoren für Bildumbrüche in Verlängerung der Gleise dargestellt (nicht neben abgewinkelten Gleisstücken, Ril 819.0603)?</t>
  </si>
  <si>
    <t>↑ TIP S3 Nr. 9</t>
  </si>
  <si>
    <t>3.2.7  Spiegelbereiche</t>
  </si>
  <si>
    <t>3.2.7</t>
  </si>
  <si>
    <t>Werden gespiegelte Bereiche mit Gleisbild mit durchgezogenen weißen Linien (nicht gestrichelt) dargestellt?</t>
  </si>
  <si>
    <t>Ist der gespiegelte Bereich durch den Betriebsstellennamen (sofern vorhanden) mit statisch weißem Text gekennzeichnet?</t>
  </si>
  <si>
    <t>3.2.8  Bezeichnung der Nachbarbetriebsstellen</t>
  </si>
  <si>
    <t>3.2.8</t>
  </si>
  <si>
    <t>Sind Nachbarbetriebsstellen mit statisch weißem Text „v/n“ + Name bezeichnet (ohne Hp/Awanst); entfällt die Bezeichnung nur bei angrenzendem Spiegelbereich?</t>
  </si>
  <si>
    <t>3.2.9  Betriebsstellenbezeichner ohne Bedienfunktion</t>
  </si>
  <si>
    <t>3.2.9</t>
  </si>
  <si>
    <t>Sind Betriebsstellen ohne bedienbaren Bezeichner auf der BerÜ mit Typ und Name, ohne Ril100-Bezeichnung und Kennzahlbereich dargestellt (analog Lupe, Ril 819.0603 Abschn. 5 (11))?</t>
  </si>
  <si>
    <t>3.2.10  Darstellung von Lupenbildgrenzen auf der BerÜ</t>
  </si>
  <si>
    <t>3.2.10</t>
  </si>
  <si>
    <t>Sind die Lupenbildbezeichner nach Möglichkeit am Bildrand beidseitig der Lupenbildgrenze platziert?</t>
  </si>
  <si>
    <t>↓ TIP S3 Nr. 16</t>
  </si>
  <si>
    <t>Werden Lupenbildgrenzen und özF-Bezirksgrenzen durch eine gestrichelte Linie dargestellt?</t>
  </si>
  <si>
    <t>3.2.11  Anzeige von Oberleitungsschaltgruppen in Weichen und Kreuzungen</t>
  </si>
  <si>
    <t>3.2.11</t>
  </si>
  <si>
    <t>Ist die Anzeige der OL-Schaltgruppen (bis auf die Trennungen) lückenlos und in ihrer Ausdehnung ähnlich dem gesperrten Zustand (SGE)?</t>
  </si>
  <si>
    <t>↓ TIP S3 Nr. 18</t>
  </si>
  <si>
    <t>Sind Trennungen zwischen OL-Schaltgruppen als Unterbrechung der grauen Hinterlegung von 2 bis 5 mm an topologisch geeigneter Stelle dargestellt?</t>
  </si>
  <si>
    <t>3.2.11.1</t>
  </si>
  <si>
    <t>Eindeutige Zuordnung der Elemente: Sperrt die Eingabe einer Schaltgruppe nur die zugeordneten Elemente, und ist die Trennung releasegerecht dargestellt (ab LBS 5.x mittig, bei 4.x entsprechend der Gleisisolierung)?</t>
  </si>
  <si>
    <t>3.2.11.2</t>
  </si>
  <si>
    <t>Mehrfache Zuordnung von Elementen: Wird das gesamte Element bei Eingabe einer betroffenen Schaltgruppe gesperrt (Fahrstraße nur mit Sperrumgehung), und entspricht dies der Planung?</t>
  </si>
  <si>
    <t>5  Lupe und BerÜ – allgemeine Prüfungen</t>
  </si>
  <si>
    <t>TIP S3 – Allgemein (Lupe und BerÜ)</t>
  </si>
  <si>
    <t>Nr. 11</t>
  </si>
  <si>
    <t>Stimmen die Lupen- und BerÜ-Bildbezeichnungen mit denen im Bildaufschaltmenü überein?</t>
  </si>
  <si>
    <t>Nr. 12</t>
  </si>
  <si>
    <t>Stimmt die Richtung der Erlaubnismelder auf Lupe und BerÜ überein?</t>
  </si>
  <si>
    <t>↑ SG 3.2.4</t>
  </si>
  <si>
    <t>Nr. 13</t>
  </si>
  <si>
    <t>Haben alle Elemente auf Lupe und BerÜ eine gültige Trefferfläche?</t>
  </si>
  <si>
    <t>Nr. 14</t>
  </si>
  <si>
    <t>Sind alle Elemente auf Lupe und BerÜ so angeordnet, dass sie sich nicht gegenseitig überschreiben?</t>
  </si>
  <si>
    <t>Nr. 15</t>
  </si>
  <si>
    <t>Werden alle nicht überwachten Gleise auf Lupe und BerÜ weiß gestrichelt dargestellt?</t>
  </si>
  <si>
    <t>Nr. 16</t>
  </si>
  <si>
    <t>Stimmt die Lupenbildgrenze auf der BerÜ mit den Lupen überein, und lässt sie sich mit LGE / LGA ein- und ausblenden?</t>
  </si>
  <si>
    <t>↑ SG 3.2.10</t>
  </si>
  <si>
    <t>Nr. 17</t>
  </si>
  <si>
    <t>Stimmt die Ausleuchtung aller Elemente auf BerÜ und Lupe überein?</t>
  </si>
  <si>
    <t>Nr. 18</t>
  </si>
  <si>
    <t>Ist die graue Hinterlegung von Oberleitungsschaltgruppen auf Lupe und BerÜ korrekt projektiert?</t>
  </si>
  <si>
    <t>↑ SG 3.2.11</t>
  </si>
  <si>
    <t>Nr. 19</t>
  </si>
  <si>
    <t>Sind alle Vorsignale, Vorsignalwiederholer und Zusatzsignale mit FPÜ-Bedienung auf der Lupe dargestellt und korrekt bezeichnet?</t>
  </si>
  <si>
    <t>↑ SG 3.1.12</t>
  </si>
  <si>
    <t>Nr. 20</t>
  </si>
  <si>
    <t>Ist bei Gleisen auf 2 Lupenbildern der Gleisbezeichner nur auf einem Lupenbild vorhanden, und ist eine KF-Bedienung nur bei Zuständigkeit für das Lupenbild mit dem Bezeichner möglich?</t>
  </si>
  <si>
    <t>↑ SG 3.1.4</t>
  </si>
  <si>
    <t>Nr. 21</t>
  </si>
  <si>
    <t>Wird auf der BerÜ nach FGE-Bedienung der Bedienplatzbezeichner des özF angezeigt, und lässt er sich mit FGA wieder ausblenden?</t>
  </si>
  <si>
    <t>Nr. 22</t>
  </si>
  <si>
    <t>Lassen sich alle Rangiersignale auf der BerÜ mit LSE / LSA ein- und ausblenden?</t>
  </si>
  <si>
    <t>Nr. 23</t>
  </si>
  <si>
    <t>Ist bei gemeinsam isolierten Weichen der AZG-Befehl an der in der Freimeldetabelle genannten Weiche projektiert?</t>
  </si>
  <si>
    <t>Nr. 24</t>
  </si>
  <si>
    <t>Ist bei zweigleisigen Strecken mit GWB der Merkhinweis „NLF“ projektiert und wirksam?</t>
  </si>
  <si>
    <t>Nr. 25</t>
  </si>
  <si>
    <t>Wird für alle Bahnhöfe in der Bahnhofszeile auf den Lupen und auf dem SM-Bild ein LK-Melder dargestellt, und wird dieser mit WLS / WLE ein- und ausgeblendet?</t>
  </si>
  <si>
    <t>Nr. 26</t>
  </si>
  <si>
    <t>Werden nach WLA-Bedienung alle Weichen der zugehörigen Laufkette auf dem Lupenbild gelb umrahmt?</t>
  </si>
  <si>
    <t>↑ SG 3.1.10</t>
  </si>
  <si>
    <t>Nr. 27</t>
  </si>
  <si>
    <t>Ist für alle Standorte mit eigener Stromversorgung ein TA/NA-Melder in der Bahnhofszeile projektiert, lässt er sich mit TE / NE umschalten, und wird dabei die zugehörige SV-Gruppe kommandiert?</t>
  </si>
  <si>
    <t>Nr. 28</t>
  </si>
  <si>
    <t>Falls Mischbetrieb SZ und UZ projektiert ist: Stimmt die Ausleuchtung aller Elemente auf Lupe und BerÜ zwischen UZ und SZ überein?</t>
  </si>
  <si>
    <t>Nr. 29</t>
  </si>
  <si>
    <t>Ist auf der BerÜ das Streckenbereichsende (Dreieck) unausgefüllt, falls es blinken kann (Anforderung vom Nachbarstellwerk bzw. Aufforderung zum Weiterstellen bei SM-SM-Kopplung)?</t>
  </si>
  <si>
    <t>Nr. 30</t>
  </si>
  <si>
    <t>Falls ETCS vorhanden: Ist die ETCS-Bedienoberfläche geprüft worden?</t>
  </si>
  <si>
    <t>Nr. 31</t>
  </si>
  <si>
    <t>Falls ETCS vorhanden: Stimmen die IP-Adressen im LBS mit denen des angeschlossenen RBC überein?</t>
  </si>
  <si>
    <t>6  Diagnosemeldungen</t>
  </si>
  <si>
    <t>TIP S3 – Diagnosemeldungen</t>
  </si>
  <si>
    <t>Nr. 32</t>
  </si>
  <si>
    <t>Wird anhand der Elementliste für jedes Element mit der Simulation eine Kommando-/Meldesperre erzeugt?</t>
  </si>
  <si>
    <t>Nr. 33</t>
  </si>
  <si>
    <t>Wird auf der KA der korrekte Diagnosetext dargestellt?</t>
  </si>
  <si>
    <t>Nr. 34</t>
  </si>
  <si>
    <t>Wird in der zugehörigen Bahnhofszeile der Sammelmelder dargestellt?</t>
  </si>
  <si>
    <t>Nr. 35</t>
  </si>
  <si>
    <t>Wird auf der Lupe in der ST-Zeile der zugehörige Lupenbildbezeichner angezeigt und die Störungsakustik angeschaltet?</t>
  </si>
  <si>
    <t>7  Zugnummernanlage und Zuglenkung</t>
  </si>
  <si>
    <t>TIP S3 – Zugnummernanlage</t>
  </si>
  <si>
    <t>Nr. 36</t>
  </si>
  <si>
    <t>Geprüft nach Planbasisliste (Ausgabe / Datum):</t>
  </si>
  <si>
    <t>Nr. 37</t>
  </si>
  <si>
    <t>Wurde die ZLV-Bus-Portbelegung aus der ZN_L2000-Datei mit der realen MAPC.C-Sachnummer aus der HWL im Labor geprüft?</t>
  </si>
  <si>
    <t>Nr. 38</t>
  </si>
  <si>
    <t>Können alle projektierten ZN-Felder über den ZLV-Bus-Simulator eingewählt werden und erscheinen sie richtig auf der BO?</t>
  </si>
  <si>
    <t>Nr. 39</t>
  </si>
  <si>
    <t>Können Zugnummern über den ZLV-Bus-Simulator in jedes Vormeldefeld gesendet werden und erscheinen sie auf der BO?</t>
  </si>
  <si>
    <t>Nr. 40</t>
  </si>
  <si>
    <t>Können über die Anbietefelder auf der BO Zugnummern dem Nachbarbahnhof angeboten und über den ZLV-Bus-Simulator angenommen werden, und wird die ZN im Anbietefeld beim Einwählen in die Streckenoptik gelöscht?</t>
  </si>
  <si>
    <t>↑ SG 3.1.15</t>
  </si>
  <si>
    <t>Nr. 41</t>
  </si>
  <si>
    <t>Können über den ZLV-Bus-Simulator vom Nachbarbahnhof Zugnummern angeboten und mit der BO angenommen werden, und wird die ZN im Anbietefeld beim Einwählen in die Streckenoptik gelöscht?</t>
  </si>
  <si>
    <t>Nr. 42</t>
  </si>
  <si>
    <t>Wird das richtige Vormeldetelegramm im ZLV-Bus-Simulator angezeigt, wenn in eine Startoptik mit Vormelderegel eine Zugnummer eingewählt wird?</t>
  </si>
  <si>
    <t>Nr. 43</t>
  </si>
  <si>
    <t>Funktioniert die ZN-Fortschaltung, wenn in die Startoptik eine ZN eingewählt und eine Zugfahrt simuliert wird?</t>
  </si>
  <si>
    <t>TIP S3 – Zuglenkung</t>
  </si>
  <si>
    <t>Nr. 44</t>
  </si>
  <si>
    <t>Nr. 45</t>
  </si>
  <si>
    <t>Können Lenkpläne mit den zugehörigen D-Wegen und Umfahrkennungen erstellt werden?</t>
  </si>
  <si>
    <t>Nr. 46</t>
  </si>
  <si>
    <t>Läuft bei erstelltem Lenkplan und Einwahl einer ZN in Start-, Vormelde- oder Spiegeloptik die Zugfahrstraße nach Ablauf der Verzögerungszeit selbstständig ein?</t>
  </si>
  <si>
    <t>Nr. 47</t>
  </si>
  <si>
    <t>Wird die Zugfahrstraße sofort eingestellt, wenn sich die ZN in der LZB-Vormeldeoptik befindet und mit dem LanCop-Simulator ein SB-Anstoß generiert wird?</t>
  </si>
  <si>
    <t>Nr. 48</t>
  </si>
  <si>
    <t>Können ZL und Dispo-Halt an allen Signalen, die diese projektiert haben, ein- und ausgeschaltet werden?</t>
  </si>
  <si>
    <t>Nr. 49</t>
  </si>
  <si>
    <t>Nur ohne ZLK-Prozess und mit Vormeldeoptiken zum Nachbarn: Wurden die Skripte install_trim_zlk_stream_cronjob.sh / trim_zlk_stream.sh auf dem Rechner mit den ZX-Prozessen ausgeführt und – falls nicht auf der Projekt-CD gepatcht – „ZLK_Vorhanden“ in ZX_Parametrisierung.xml auf „Ja“ gesetzt (siehe 70027804-108~15870~0241)?</t>
  </si>
  <si>
    <t>8  Projektierungsupdate, Toolprüfung, Migration</t>
  </si>
  <si>
    <t>TIP S3 – Projektierungsupdate</t>
  </si>
  <si>
    <t>Nr. 50</t>
  </si>
  <si>
    <t>Wurden bei einer Softwareänderung die BerÜ und Lupen per Beyond Compare verglichen?</t>
  </si>
  <si>
    <t>TIP S3 – Toolprüfung</t>
  </si>
  <si>
    <t>Nr. 51</t>
  </si>
  <si>
    <t>Wurden die Daten vom QCheck-Tool geprüft? Kein Fehler gefunden bzw. alle Fehler/Warnungen bewertet und als unkritisch eingestuft?</t>
  </si>
  <si>
    <t>Nr. 52</t>
  </si>
  <si>
    <t>Wurden die Daten vom RENT geprüft? Kein Fehler gefunden bzw. alle Fehler/Warnungen bewertet und als unkritisch eingestuft?</t>
  </si>
  <si>
    <t>Nr. 53</t>
  </si>
  <si>
    <t>Wurden die Daten vom RBCvsIXL-Tool geprüft? Kein Fehler gefunden bzw. alle Fehler/Warnungen bewertet und als unkritisch eingestuft?</t>
  </si>
  <si>
    <t>TIP S3 – ISA/HIS-Migration</t>
  </si>
  <si>
    <t>Nr. 54</t>
  </si>
  <si>
    <t>Nur bei Migration / ZLV-Bus-Änderung: Wurde die ZLV-Bus-Portbelegung aus der ZN_L2000-Datei mit der realen MAPC.C-Sachnummer aus der HWL im Labor geprüft?</t>
  </si>
  <si>
    <t>Ergebnis – Prüfprotokoll Bedienoberfläche</t>
  </si>
  <si>
    <t>Abschnitt</t>
  </si>
  <si>
    <t>offen</t>
  </si>
  <si>
    <t>mehrfach</t>
  </si>
  <si>
    <t>Summe</t>
  </si>
  <si>
    <t>Davon TIP S3 – n. i. O.</t>
  </si>
  <si>
    <t>Davon SG – n. i. O.</t>
  </si>
  <si>
    <t>Gesamtergebnis</t>
  </si>
  <si>
    <t>TIP S3 – alle Prüfschritte durchgeführt</t>
  </si>
  <si>
    <t>Bedienoberfläche entspricht dem Styleguide</t>
  </si>
  <si>
    <t>Übertrag der Abweichungen ins Prüfbuch</t>
  </si>
  <si>
    <t>Kurzbeschreibung</t>
  </si>
  <si>
    <t>Frage-Nr.</t>
  </si>
  <si>
    <t>Prüfbuch-Nr.</t>
  </si>
  <si>
    <t>Bild (Lupe/BerÜ)</t>
  </si>
  <si>
    <t>Erledigt</t>
  </si>
  <si>
    <t>Unterschriften</t>
  </si>
  <si>
    <t>Freigebender</t>
  </si>
  <si>
    <t>Name (Druckbuchstaben)</t>
  </si>
  <si>
    <t>Firma (falls extern)</t>
  </si>
  <si>
    <t>Unterschrift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</si>
</sst>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2"/>
      <color rgb="FF2E75B6"/>
      <name val="Arial"/>
      <family val="2"/>
    </font>
    <font>
      <sz val="9"/>
      <color rgb="FF595959"/>
      <name val="Arial"/>
      <family val="2"/>
    </font>
    <font>
      <b/>
      <sz val="20"/>
      <color rgb="FF1F3864"/>
      <name val="Arial"/>
      <family val="2"/>
    </font>
    <font>
      <sz val="11"/>
      <color rgb="FF2E75B6"/>
      <name val="Arial"/>
      <family val="2"/>
    </font>
    <font>
      <b/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6"/>
      <color rgb="FF1F3864"/>
      <name val="Arial"/>
      <family val="2"/>
    </font>
    <font>
      <b/>
      <sz val="11"/>
      <color rgb="FFFFFFFF"/>
      <name val="Arial"/>
      <family val="2"/>
    </font>
    <font>
      <b/>
      <sz val="9"/>
      <color rgb="FF1F3864"/>
      <name val="Arial"/>
      <family val="2"/>
    </font>
    <font>
      <u/>
      <sz val="9"/>
      <color rgb="FF0563C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DF1E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AF6"/>
        <bgColor indexed="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 applyAlignment="1">
      <alignment vertical="top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1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9" fillId="8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10" fillId="9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</cellXfs>
  <cellStyles count="1">
    <cellStyle name="Standard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D35"/>
  <sheetViews>
    <sheetView topLeftCell="A16" workbookViewId="0"/>
  </sheetViews>
  <sheetFormatPr defaultRowHeight="15"/>
  <cols>
    <col min="1" max="1" width="3.7109375" customWidth="1"/>
    <col min="2" max="2" width="34.7109375" customWidth="1"/>
    <col min="3" max="3" width="22.7109375" customWidth="1"/>
    <col min="4" max="4" width="70.7109375" customWidth="1"/>
  </cols>
  <sheetData>
    <row r="2" spans="2:4">
      <c r="B2" s="1" t="s">
        <v>0</v>
      </c>
    </row>
    <row r="3" spans="2:4">
      <c r="B3" s="2" t="s">
        <v>1</v>
      </c>
    </row>
    <row r="5" spans="2:4">
      <c r="B5" s="3" t="s">
        <v>2</v>
      </c>
    </row>
    <row r="6" spans="2:4">
      <c r="B6" s="4" t="s">
        <v>3</v>
      </c>
    </row>
    <row r="7" spans="2:4">
      <c r="B7" s="2" t="s">
        <v>4</v>
      </c>
    </row>
    <row r="9" spans="2:4">
      <c r="B9" s="23" t="s">
        <v>5</v>
      </c>
      <c r="C9" s="23"/>
      <c r="D9" s="23"/>
    </row>
    <row r="10" spans="2:4">
      <c r="B10" s="6" t="s">
        <v>6</v>
      </c>
      <c r="C10" s="24"/>
      <c r="D10" s="24"/>
    </row>
    <row r="11" spans="2:4">
      <c r="B11" s="6" t="s">
        <v>7</v>
      </c>
      <c r="C11" s="24"/>
      <c r="D11" s="24"/>
    </row>
    <row r="12" spans="2:4">
      <c r="B12" s="6" t="s">
        <v>8</v>
      </c>
      <c r="C12" s="24"/>
      <c r="D12" s="24"/>
    </row>
    <row r="13" spans="2:4">
      <c r="B13" s="6" t="s">
        <v>9</v>
      </c>
      <c r="C13" s="24"/>
      <c r="D13" s="24"/>
    </row>
    <row r="14" spans="2:4">
      <c r="B14" s="6" t="s">
        <v>10</v>
      </c>
      <c r="C14" s="24"/>
      <c r="D14" s="24"/>
    </row>
    <row r="15" spans="2:4">
      <c r="B15" s="6" t="s">
        <v>11</v>
      </c>
      <c r="C15" s="24"/>
      <c r="D15" s="24"/>
    </row>
    <row r="16" spans="2:4">
      <c r="B16" s="6" t="s">
        <v>12</v>
      </c>
      <c r="C16" s="24"/>
      <c r="D16" s="24"/>
    </row>
    <row r="17" spans="2:4">
      <c r="B17" s="6" t="s">
        <v>13</v>
      </c>
      <c r="C17" s="24"/>
      <c r="D17" s="24"/>
    </row>
    <row r="18" spans="2:4">
      <c r="B18" s="6" t="s">
        <v>14</v>
      </c>
      <c r="C18" s="24"/>
      <c r="D18" s="24"/>
    </row>
    <row r="20" spans="2:4">
      <c r="B20" s="23" t="s">
        <v>15</v>
      </c>
      <c r="C20" s="23"/>
      <c r="D20" s="23"/>
    </row>
    <row r="21" spans="2:4" ht="26.1" customHeight="1">
      <c r="B21" s="7" t="s">
        <v>16</v>
      </c>
      <c r="C21" s="25" t="s">
        <v>17</v>
      </c>
      <c r="D21" s="25"/>
    </row>
    <row r="22" spans="2:4" ht="26.1" customHeight="1">
      <c r="B22" s="9" t="s">
        <v>18</v>
      </c>
      <c r="C22" s="26" t="s">
        <v>19</v>
      </c>
      <c r="D22" s="26"/>
    </row>
    <row r="24" spans="2:4">
      <c r="B24" s="23" t="s">
        <v>20</v>
      </c>
      <c r="C24" s="23"/>
      <c r="D24" s="23"/>
    </row>
    <row r="25" spans="2:4">
      <c r="B25" s="6" t="s">
        <v>21</v>
      </c>
      <c r="C25" s="10" t="s">
        <v>22</v>
      </c>
      <c r="D25" s="10" t="s">
        <v>23</v>
      </c>
    </row>
    <row r="26" spans="2:4">
      <c r="B26" s="6" t="s">
        <v>24</v>
      </c>
      <c r="C26" s="10" t="s">
        <v>25</v>
      </c>
      <c r="D26" s="10" t="s">
        <v>26</v>
      </c>
    </row>
    <row r="27" spans="2:4">
      <c r="B27" s="6" t="s">
        <v>27</v>
      </c>
      <c r="C27" s="10" t="s">
        <v>28</v>
      </c>
      <c r="D27" s="10" t="s">
        <v>29</v>
      </c>
    </row>
    <row r="29" spans="2:4">
      <c r="B29" s="23" t="s">
        <v>30</v>
      </c>
      <c r="C29" s="23"/>
      <c r="D29" s="23"/>
    </row>
    <row r="30" spans="2:4" ht="26.1" customHeight="1">
      <c r="B30" s="26" t="s">
        <v>31</v>
      </c>
      <c r="C30" s="26"/>
      <c r="D30" s="26"/>
    </row>
    <row r="31" spans="2:4" ht="26.1" customHeight="1">
      <c r="B31" s="26" t="s">
        <v>32</v>
      </c>
      <c r="C31" s="26"/>
      <c r="D31" s="26"/>
    </row>
    <row r="32" spans="2:4" ht="26.1" customHeight="1">
      <c r="B32" s="26" t="s">
        <v>33</v>
      </c>
      <c r="C32" s="26"/>
      <c r="D32" s="26"/>
    </row>
    <row r="33" spans="2:4" ht="26.1" customHeight="1">
      <c r="B33" s="26" t="s">
        <v>34</v>
      </c>
      <c r="C33" s="26"/>
      <c r="D33" s="26"/>
    </row>
    <row r="34" spans="2:4" ht="26.1" customHeight="1">
      <c r="B34" s="26" t="s">
        <v>35</v>
      </c>
      <c r="C34" s="26"/>
      <c r="D34" s="26"/>
    </row>
    <row r="35" spans="2:4" ht="26.1" customHeight="1">
      <c r="B35" s="26" t="s">
        <v>36</v>
      </c>
      <c r="C35" s="26"/>
      <c r="D35" s="26"/>
    </row>
  </sheetData>
  <mergeCells count="21">
    <mergeCell ref="B35:D35"/>
    <mergeCell ref="B30:D30"/>
    <mergeCell ref="B31:D31"/>
    <mergeCell ref="B32:D32"/>
    <mergeCell ref="B33:D33"/>
    <mergeCell ref="B34:D34"/>
    <mergeCell ref="B20:D20"/>
    <mergeCell ref="C21:D21"/>
    <mergeCell ref="C22:D22"/>
    <mergeCell ref="B24:D24"/>
    <mergeCell ref="B29:D29"/>
    <mergeCell ref="C14:D14"/>
    <mergeCell ref="C15:D15"/>
    <mergeCell ref="C16:D16"/>
    <mergeCell ref="C17:D17"/>
    <mergeCell ref="C18:D18"/>
    <mergeCell ref="B9:D9"/>
    <mergeCell ref="C10:D10"/>
    <mergeCell ref="C11:D11"/>
    <mergeCell ref="C12:D12"/>
    <mergeCell ref="C13:D13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9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5.7109375" customWidth="1"/>
    <col min="2" max="2" width="9.7109375" customWidth="1"/>
    <col min="3" max="3" width="10.7109375" customWidth="1"/>
    <col min="4" max="4" width="70.7109375" customWidth="1"/>
    <col min="5" max="5" width="14.7109375" customWidth="1"/>
    <col min="6" max="8" width="7.28515625" customWidth="1"/>
    <col min="9" max="9" width="11.7109375" customWidth="1"/>
    <col min="10" max="10" width="34.7109375" customWidth="1"/>
  </cols>
  <sheetData>
    <row r="1" spans="1:10">
      <c r="A1" s="11" t="s">
        <v>37</v>
      </c>
    </row>
    <row r="2" spans="1:10">
      <c r="A2" s="2" t="s">
        <v>38</v>
      </c>
    </row>
    <row r="4" spans="1:10" ht="30" customHeight="1">
      <c r="A4" s="5" t="s">
        <v>39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5" t="s">
        <v>47</v>
      </c>
      <c r="J4" s="5" t="s">
        <v>48</v>
      </c>
    </row>
    <row r="5" spans="1:10" ht="20.100000000000001" customHeight="1">
      <c r="A5" s="27" t="s">
        <v>49</v>
      </c>
      <c r="B5" s="27"/>
      <c r="C5" s="27"/>
      <c r="D5" s="27"/>
      <c r="E5" s="27"/>
      <c r="F5" s="27"/>
      <c r="G5" s="27"/>
      <c r="H5" s="27"/>
      <c r="I5" s="27"/>
      <c r="J5" s="27"/>
    </row>
    <row r="6" spans="1:10" ht="27.95" customHeight="1">
      <c r="A6" s="12">
        <v>1</v>
      </c>
      <c r="B6" s="9" t="s">
        <v>18</v>
      </c>
      <c r="C6" s="12" t="s">
        <v>50</v>
      </c>
      <c r="D6" s="10" t="s">
        <v>51</v>
      </c>
      <c r="E6" s="10"/>
      <c r="F6" s="13" t="b">
        <v>0</v>
      </c>
      <c r="G6" s="13" t="b">
        <v>0</v>
      </c>
      <c r="H6" s="13" t="b">
        <v>0</v>
      </c>
      <c r="I6" s="14" t="str">
        <f>IF(COUNTIF(F6:H6,TRUE)=0,"offen",IF(COUNTIF(F6:H6,TRUE)&gt;1,"mehrfach!",IF(G6=TRUE,"n. i. O.","erledigt")))</f>
        <v>offen</v>
      </c>
      <c r="J6" s="10"/>
    </row>
    <row r="7" spans="1:10" ht="27.95" customHeight="1">
      <c r="A7" s="12">
        <v>2</v>
      </c>
      <c r="B7" s="9" t="s">
        <v>18</v>
      </c>
      <c r="C7" s="12" t="s">
        <v>50</v>
      </c>
      <c r="D7" s="10" t="s">
        <v>52</v>
      </c>
      <c r="E7" s="10"/>
      <c r="F7" s="13" t="b">
        <v>0</v>
      </c>
      <c r="G7" s="13" t="b">
        <v>0</v>
      </c>
      <c r="H7" s="13" t="b">
        <v>0</v>
      </c>
      <c r="I7" s="14" t="str">
        <f>IF(COUNTIF(F7:H7,TRUE)=0,"offen",IF(COUNTIF(F7:H7,TRUE)&gt;1,"mehrfach!",IF(G7=TRUE,"n. i. O.","erledigt")))</f>
        <v>offen</v>
      </c>
      <c r="J7" s="10"/>
    </row>
    <row r="8" spans="1:10" ht="20.100000000000001" customHeight="1">
      <c r="A8" s="27" t="s">
        <v>53</v>
      </c>
      <c r="B8" s="27"/>
      <c r="C8" s="27"/>
      <c r="D8" s="27"/>
      <c r="E8" s="27"/>
      <c r="F8" s="27"/>
      <c r="G8" s="27"/>
      <c r="H8" s="27"/>
      <c r="I8" s="27"/>
      <c r="J8" s="27"/>
    </row>
    <row r="9" spans="1:10">
      <c r="A9" s="28" t="s">
        <v>54</v>
      </c>
      <c r="B9" s="28"/>
      <c r="C9" s="28"/>
      <c r="D9" s="28"/>
      <c r="E9" s="28"/>
      <c r="F9" s="28"/>
      <c r="G9" s="28"/>
      <c r="H9" s="28"/>
      <c r="I9" s="28"/>
      <c r="J9" s="28"/>
    </row>
    <row r="10" spans="1:10" ht="15.6" customHeight="1">
      <c r="A10" s="15">
        <v>3</v>
      </c>
      <c r="B10" s="7" t="s">
        <v>16</v>
      </c>
      <c r="C10" s="15" t="s">
        <v>55</v>
      </c>
      <c r="D10" s="8" t="s">
        <v>56</v>
      </c>
      <c r="E10" s="8"/>
      <c r="F10" s="16" t="b">
        <v>0</v>
      </c>
      <c r="G10" s="16" t="b">
        <v>0</v>
      </c>
      <c r="H10" s="16" t="b">
        <v>0</v>
      </c>
      <c r="I10" s="17" t="str">
        <f>IF(COUNTIF(F10:H10,TRUE)=0,"offen",IF(COUNTIF(F10:H10,TRUE)&gt;1,"mehrfach!",IF(G10=TRUE,"n. i. O.","erledigt")))</f>
        <v>offen</v>
      </c>
      <c r="J10" s="8"/>
    </row>
    <row r="11" spans="1:10" ht="27.95" customHeight="1">
      <c r="A11" s="15">
        <v>4</v>
      </c>
      <c r="B11" s="7" t="s">
        <v>16</v>
      </c>
      <c r="C11" s="15" t="s">
        <v>57</v>
      </c>
      <c r="D11" s="8" t="s">
        <v>58</v>
      </c>
      <c r="E11" s="8"/>
      <c r="F11" s="16" t="b">
        <v>0</v>
      </c>
      <c r="G11" s="16" t="b">
        <v>0</v>
      </c>
      <c r="H11" s="16" t="b">
        <v>0</v>
      </c>
      <c r="I11" s="17" t="str">
        <f>IF(COUNTIF(F11:H11,TRUE)=0,"offen",IF(COUNTIF(F11:H11,TRUE)&gt;1,"mehrfach!",IF(G11=TRUE,"n. i. O.","erledigt")))</f>
        <v>offen</v>
      </c>
      <c r="J11" s="8"/>
    </row>
    <row r="12" spans="1:10" ht="15.6" customHeight="1">
      <c r="A12" s="15">
        <v>5</v>
      </c>
      <c r="B12" s="7" t="s">
        <v>16</v>
      </c>
      <c r="C12" s="15" t="s">
        <v>59</v>
      </c>
      <c r="D12" s="8" t="s">
        <v>60</v>
      </c>
      <c r="E12" s="8"/>
      <c r="F12" s="16" t="b">
        <v>0</v>
      </c>
      <c r="G12" s="16" t="b">
        <v>0</v>
      </c>
      <c r="H12" s="16" t="b">
        <v>0</v>
      </c>
      <c r="I12" s="17" t="str">
        <f>IF(COUNTIF(F12:H12,TRUE)=0,"offen",IF(COUNTIF(F12:H12,TRUE)&gt;1,"mehrfach!",IF(G12=TRUE,"n. i. O.","erledigt")))</f>
        <v>offen</v>
      </c>
      <c r="J12" s="8"/>
    </row>
    <row r="13" spans="1:10" ht="15.6" customHeight="1">
      <c r="A13" s="15">
        <v>6</v>
      </c>
      <c r="B13" s="7" t="s">
        <v>16</v>
      </c>
      <c r="C13" s="15" t="s">
        <v>61</v>
      </c>
      <c r="D13" s="8" t="s">
        <v>62</v>
      </c>
      <c r="E13" s="8"/>
      <c r="F13" s="16" t="b">
        <v>0</v>
      </c>
      <c r="G13" s="16" t="b">
        <v>0</v>
      </c>
      <c r="H13" s="16" t="b">
        <v>0</v>
      </c>
      <c r="I13" s="17" t="str">
        <f>IF(COUNTIF(F13:H13,TRUE)=0,"offen",IF(COUNTIF(F13:H13,TRUE)&gt;1,"mehrfach!",IF(G13=TRUE,"n. i. O.","erledigt")))</f>
        <v>offen</v>
      </c>
      <c r="J13" s="8"/>
    </row>
    <row r="14" spans="1:10" ht="15.6" customHeight="1">
      <c r="A14" s="15">
        <v>7</v>
      </c>
      <c r="B14" s="7" t="s">
        <v>16</v>
      </c>
      <c r="C14" s="15" t="s">
        <v>63</v>
      </c>
      <c r="D14" s="8" t="s">
        <v>64</v>
      </c>
      <c r="E14" s="18" t="s">
        <v>65</v>
      </c>
      <c r="F14" s="16" t="b">
        <v>0</v>
      </c>
      <c r="G14" s="16" t="b">
        <v>0</v>
      </c>
      <c r="H14" s="16" t="b">
        <v>0</v>
      </c>
      <c r="I14" s="17" t="str">
        <f>IF(COUNTIF(F14:H14,TRUE)=0,"offen",IF(COUNTIF(F14:H14,TRUE)&gt;1,"mehrfach!",IF(G14=TRUE,"n. i. O.","erledigt")))</f>
        <v>offen</v>
      </c>
      <c r="J14" s="8"/>
    </row>
    <row r="15" spans="1:10" ht="15.6" customHeight="1">
      <c r="A15" s="15">
        <v>8</v>
      </c>
      <c r="B15" s="7" t="s">
        <v>16</v>
      </c>
      <c r="C15" s="15" t="s">
        <v>66</v>
      </c>
      <c r="D15" s="8" t="s">
        <v>67</v>
      </c>
      <c r="E15" s="8"/>
      <c r="F15" s="16" t="b">
        <v>0</v>
      </c>
      <c r="G15" s="16" t="b">
        <v>0</v>
      </c>
      <c r="H15" s="16" t="b">
        <v>0</v>
      </c>
      <c r="I15" s="17" t="str">
        <f>IF(COUNTIF(F15:H15,TRUE)=0,"offen",IF(COUNTIF(F15:H15,TRUE)&gt;1,"mehrfach!",IF(G15=TRUE,"n. i. O.","erledigt")))</f>
        <v>offen</v>
      </c>
      <c r="J15" s="8"/>
    </row>
    <row r="16" spans="1:10" ht="27.95" customHeight="1">
      <c r="A16" s="15">
        <v>9</v>
      </c>
      <c r="B16" s="7" t="s">
        <v>16</v>
      </c>
      <c r="C16" s="15" t="s">
        <v>68</v>
      </c>
      <c r="D16" s="8" t="s">
        <v>69</v>
      </c>
      <c r="E16" s="8"/>
      <c r="F16" s="16" t="b">
        <v>0</v>
      </c>
      <c r="G16" s="16" t="b">
        <v>0</v>
      </c>
      <c r="H16" s="16" t="b">
        <v>0</v>
      </c>
      <c r="I16" s="17" t="str">
        <f>IF(COUNTIF(F16:H16,TRUE)=0,"offen",IF(COUNTIF(F16:H16,TRUE)&gt;1,"mehrfach!",IF(G16=TRUE,"n. i. O.","erledigt")))</f>
        <v>offen</v>
      </c>
      <c r="J16" s="8"/>
    </row>
    <row r="17" spans="1:10" ht="15.6" customHeight="1">
      <c r="A17" s="15">
        <v>10</v>
      </c>
      <c r="B17" s="7" t="s">
        <v>16</v>
      </c>
      <c r="C17" s="15" t="s">
        <v>70</v>
      </c>
      <c r="D17" s="8" t="s">
        <v>71</v>
      </c>
      <c r="E17" s="18" t="s">
        <v>72</v>
      </c>
      <c r="F17" s="16" t="b">
        <v>0</v>
      </c>
      <c r="G17" s="16" t="b">
        <v>0</v>
      </c>
      <c r="H17" s="16" t="b">
        <v>0</v>
      </c>
      <c r="I17" s="17" t="str">
        <f>IF(COUNTIF(F17:H17,TRUE)=0,"offen",IF(COUNTIF(F17:H17,TRUE)&gt;1,"mehrfach!",IF(G17=TRUE,"n. i. O.","erledigt")))</f>
        <v>offen</v>
      </c>
      <c r="J17" s="8"/>
    </row>
    <row r="18" spans="1:10">
      <c r="A18" s="29" t="s">
        <v>73</v>
      </c>
      <c r="B18" s="29"/>
      <c r="C18" s="29"/>
      <c r="D18" s="29"/>
      <c r="E18" s="29"/>
      <c r="F18" s="29"/>
      <c r="G18" s="29"/>
      <c r="H18" s="29"/>
      <c r="I18" s="29"/>
      <c r="J18" s="29"/>
    </row>
    <row r="19" spans="1:10">
      <c r="A19" s="29" t="s">
        <v>74</v>
      </c>
      <c r="B19" s="29"/>
      <c r="C19" s="29"/>
      <c r="D19" s="29"/>
      <c r="E19" s="29"/>
      <c r="F19" s="29"/>
      <c r="G19" s="29"/>
      <c r="H19" s="29"/>
      <c r="I19" s="29"/>
      <c r="J19" s="29"/>
    </row>
    <row r="20" spans="1:10" ht="27.95" customHeight="1">
      <c r="A20" s="12">
        <v>11</v>
      </c>
      <c r="B20" s="9" t="s">
        <v>18</v>
      </c>
      <c r="C20" s="12" t="s">
        <v>75</v>
      </c>
      <c r="D20" s="10" t="s">
        <v>76</v>
      </c>
      <c r="E20" s="10"/>
      <c r="F20" s="13" t="b">
        <v>0</v>
      </c>
      <c r="G20" s="13" t="b">
        <v>0</v>
      </c>
      <c r="H20" s="13" t="b">
        <v>0</v>
      </c>
      <c r="I20" s="14" t="str">
        <f>IF(COUNTIF(F20:H20,TRUE)=0,"offen",IF(COUNTIF(F20:H20,TRUE)&gt;1,"mehrfach!",IF(G20=TRUE,"n. i. O.","erledigt")))</f>
        <v>offen</v>
      </c>
      <c r="J20" s="10"/>
    </row>
    <row r="21" spans="1:10" ht="27.95" customHeight="1">
      <c r="A21" s="12">
        <v>12</v>
      </c>
      <c r="B21" s="9" t="s">
        <v>18</v>
      </c>
      <c r="C21" s="12" t="s">
        <v>75</v>
      </c>
      <c r="D21" s="10" t="s">
        <v>77</v>
      </c>
      <c r="E21" s="10"/>
      <c r="F21" s="13" t="b">
        <v>0</v>
      </c>
      <c r="G21" s="13" t="b">
        <v>0</v>
      </c>
      <c r="H21" s="13" t="b">
        <v>0</v>
      </c>
      <c r="I21" s="14" t="str">
        <f>IF(COUNTIF(F21:H21,TRUE)=0,"offen",IF(COUNTIF(F21:H21,TRUE)&gt;1,"mehrfach!",IF(G21=TRUE,"n. i. O.","erledigt")))</f>
        <v>offen</v>
      </c>
      <c r="J21" s="10"/>
    </row>
    <row r="22" spans="1:10" ht="40.5" customHeight="1">
      <c r="A22" s="12">
        <v>13</v>
      </c>
      <c r="B22" s="9" t="s">
        <v>18</v>
      </c>
      <c r="C22" s="12" t="s">
        <v>75</v>
      </c>
      <c r="D22" s="10" t="s">
        <v>78</v>
      </c>
      <c r="E22" s="10"/>
      <c r="F22" s="13" t="b">
        <v>0</v>
      </c>
      <c r="G22" s="13" t="b">
        <v>0</v>
      </c>
      <c r="H22" s="13" t="b">
        <v>0</v>
      </c>
      <c r="I22" s="14" t="str">
        <f>IF(COUNTIF(F22:H22,TRUE)=0,"offen",IF(COUNTIF(F22:H22,TRUE)&gt;1,"mehrfach!",IF(G22=TRUE,"n. i. O.","erledigt")))</f>
        <v>offen</v>
      </c>
      <c r="J22" s="10"/>
    </row>
    <row r="23" spans="1:10">
      <c r="A23" s="29" t="s">
        <v>79</v>
      </c>
      <c r="B23" s="29"/>
      <c r="C23" s="29"/>
      <c r="D23" s="29"/>
      <c r="E23" s="29"/>
      <c r="F23" s="29"/>
      <c r="G23" s="29"/>
      <c r="H23" s="29"/>
      <c r="I23" s="29"/>
      <c r="J23" s="29"/>
    </row>
    <row r="24" spans="1:10" ht="27.95" customHeight="1">
      <c r="A24" s="12">
        <v>14</v>
      </c>
      <c r="B24" s="9" t="s">
        <v>18</v>
      </c>
      <c r="C24" s="12" t="s">
        <v>80</v>
      </c>
      <c r="D24" s="10" t="s">
        <v>81</v>
      </c>
      <c r="E24" s="10"/>
      <c r="F24" s="13" t="b">
        <v>0</v>
      </c>
      <c r="G24" s="13" t="b">
        <v>0</v>
      </c>
      <c r="H24" s="13" t="b">
        <v>0</v>
      </c>
      <c r="I24" s="14" t="str">
        <f>IF(COUNTIF(F24:H24,TRUE)=0,"offen",IF(COUNTIF(F24:H24,TRUE)&gt;1,"mehrfach!",IF(G24=TRUE,"n. i. O.","erledigt")))</f>
        <v>offen</v>
      </c>
      <c r="J24" s="10"/>
    </row>
    <row r="25" spans="1:10" ht="27.95" customHeight="1">
      <c r="A25" s="12">
        <v>15</v>
      </c>
      <c r="B25" s="9" t="s">
        <v>18</v>
      </c>
      <c r="C25" s="12" t="s">
        <v>80</v>
      </c>
      <c r="D25" s="10" t="s">
        <v>82</v>
      </c>
      <c r="E25" s="10"/>
      <c r="F25" s="13" t="b">
        <v>0</v>
      </c>
      <c r="G25" s="13" t="b">
        <v>0</v>
      </c>
      <c r="H25" s="13" t="b">
        <v>0</v>
      </c>
      <c r="I25" s="14" t="str">
        <f>IF(COUNTIF(F25:H25,TRUE)=0,"offen",IF(COUNTIF(F25:H25,TRUE)&gt;1,"mehrfach!",IF(G25=TRUE,"n. i. O.","erledigt")))</f>
        <v>offen</v>
      </c>
      <c r="J25" s="10"/>
    </row>
    <row r="26" spans="1:10" ht="15.6" customHeight="1">
      <c r="A26" s="12">
        <v>16</v>
      </c>
      <c r="B26" s="9" t="s">
        <v>18</v>
      </c>
      <c r="C26" s="12" t="s">
        <v>80</v>
      </c>
      <c r="D26" s="10" t="s">
        <v>83</v>
      </c>
      <c r="E26" s="10"/>
      <c r="F26" s="13" t="b">
        <v>0</v>
      </c>
      <c r="G26" s="13" t="b">
        <v>0</v>
      </c>
      <c r="H26" s="13" t="b">
        <v>0</v>
      </c>
      <c r="I26" s="14" t="str">
        <f>IF(COUNTIF(F26:H26,TRUE)=0,"offen",IF(COUNTIF(F26:H26,TRUE)&gt;1,"mehrfach!",IF(G26=TRUE,"n. i. O.","erledigt")))</f>
        <v>offen</v>
      </c>
      <c r="J26" s="10"/>
    </row>
    <row r="27" spans="1:10">
      <c r="A27" s="29" t="s">
        <v>84</v>
      </c>
      <c r="B27" s="29"/>
      <c r="C27" s="29"/>
      <c r="D27" s="29"/>
      <c r="E27" s="29"/>
      <c r="F27" s="29"/>
      <c r="G27" s="29"/>
      <c r="H27" s="29"/>
      <c r="I27" s="29"/>
      <c r="J27" s="29"/>
    </row>
    <row r="28" spans="1:10" ht="27.95" customHeight="1">
      <c r="A28" s="12">
        <v>17</v>
      </c>
      <c r="B28" s="9" t="s">
        <v>18</v>
      </c>
      <c r="C28" s="12" t="s">
        <v>85</v>
      </c>
      <c r="D28" s="10" t="s">
        <v>86</v>
      </c>
      <c r="E28" s="10"/>
      <c r="F28" s="13" t="b">
        <v>0</v>
      </c>
      <c r="G28" s="13" t="b">
        <v>0</v>
      </c>
      <c r="H28" s="13" t="b">
        <v>0</v>
      </c>
      <c r="I28" s="14" t="str">
        <f>IF(COUNTIF(F28:H28,TRUE)=0,"offen",IF(COUNTIF(F28:H28,TRUE)&gt;1,"mehrfach!",IF(G28=TRUE,"n. i. O.","erledigt")))</f>
        <v>offen</v>
      </c>
      <c r="J28" s="10"/>
    </row>
    <row r="29" spans="1:10" ht="27.95" customHeight="1">
      <c r="A29" s="12">
        <v>18</v>
      </c>
      <c r="B29" s="9" t="s">
        <v>18</v>
      </c>
      <c r="C29" s="12" t="s">
        <v>85</v>
      </c>
      <c r="D29" s="10" t="s">
        <v>87</v>
      </c>
      <c r="E29" s="10"/>
      <c r="F29" s="13" t="b">
        <v>0</v>
      </c>
      <c r="G29" s="13" t="b">
        <v>0</v>
      </c>
      <c r="H29" s="13" t="b">
        <v>0</v>
      </c>
      <c r="I29" s="14" t="str">
        <f>IF(COUNTIF(F29:H29,TRUE)=0,"offen",IF(COUNTIF(F29:H29,TRUE)&gt;1,"mehrfach!",IF(G29=TRUE,"n. i. O.","erledigt")))</f>
        <v>offen</v>
      </c>
      <c r="J29" s="10"/>
    </row>
    <row r="30" spans="1:10" ht="27.95" customHeight="1">
      <c r="A30" s="12">
        <v>19</v>
      </c>
      <c r="B30" s="9" t="s">
        <v>18</v>
      </c>
      <c r="C30" s="12" t="s">
        <v>85</v>
      </c>
      <c r="D30" s="10" t="s">
        <v>88</v>
      </c>
      <c r="E30" s="10"/>
      <c r="F30" s="13" t="b">
        <v>0</v>
      </c>
      <c r="G30" s="13" t="b">
        <v>0</v>
      </c>
      <c r="H30" s="13" t="b">
        <v>0</v>
      </c>
      <c r="I30" s="14" t="str">
        <f>IF(COUNTIF(F30:H30,TRUE)=0,"offen",IF(COUNTIF(F30:H30,TRUE)&gt;1,"mehrfach!",IF(G30=TRUE,"n. i. O.","erledigt")))</f>
        <v>offen</v>
      </c>
      <c r="J30" s="10"/>
    </row>
    <row r="31" spans="1:10" ht="27.95" customHeight="1">
      <c r="A31" s="12">
        <v>20</v>
      </c>
      <c r="B31" s="9" t="s">
        <v>18</v>
      </c>
      <c r="C31" s="12" t="s">
        <v>85</v>
      </c>
      <c r="D31" s="10" t="s">
        <v>89</v>
      </c>
      <c r="E31" s="10"/>
      <c r="F31" s="13" t="b">
        <v>0</v>
      </c>
      <c r="G31" s="13" t="b">
        <v>0</v>
      </c>
      <c r="H31" s="13" t="b">
        <v>0</v>
      </c>
      <c r="I31" s="14" t="str">
        <f>IF(COUNTIF(F31:H31,TRUE)=0,"offen",IF(COUNTIF(F31:H31,TRUE)&gt;1,"mehrfach!",IF(G31=TRUE,"n. i. O.","erledigt")))</f>
        <v>offen</v>
      </c>
      <c r="J31" s="10"/>
    </row>
    <row r="32" spans="1:10" ht="40.5" customHeight="1">
      <c r="A32" s="12">
        <v>21</v>
      </c>
      <c r="B32" s="9" t="s">
        <v>18</v>
      </c>
      <c r="C32" s="12" t="s">
        <v>90</v>
      </c>
      <c r="D32" s="10" t="s">
        <v>91</v>
      </c>
      <c r="E32" s="10"/>
      <c r="F32" s="13" t="b">
        <v>0</v>
      </c>
      <c r="G32" s="13" t="b">
        <v>0</v>
      </c>
      <c r="H32" s="13" t="b">
        <v>0</v>
      </c>
      <c r="I32" s="14" t="str">
        <f>IF(COUNTIF(F32:H32,TRUE)=0,"offen",IF(COUNTIF(F32:H32,TRUE)&gt;1,"mehrfach!",IF(G32=TRUE,"n. i. O.","erledigt")))</f>
        <v>offen</v>
      </c>
      <c r="J32" s="10"/>
    </row>
    <row r="33" spans="1:10" ht="27.95" customHeight="1">
      <c r="A33" s="12">
        <v>22</v>
      </c>
      <c r="B33" s="9" t="s">
        <v>18</v>
      </c>
      <c r="C33" s="12" t="s">
        <v>92</v>
      </c>
      <c r="D33" s="10" t="s">
        <v>93</v>
      </c>
      <c r="E33" s="10"/>
      <c r="F33" s="13" t="b">
        <v>0</v>
      </c>
      <c r="G33" s="13" t="b">
        <v>0</v>
      </c>
      <c r="H33" s="13" t="b">
        <v>0</v>
      </c>
      <c r="I33" s="14" t="str">
        <f>IF(COUNTIF(F33:H33,TRUE)=0,"offen",IF(COUNTIF(F33:H33,TRUE)&gt;1,"mehrfach!",IF(G33=TRUE,"n. i. O.","erledigt")))</f>
        <v>offen</v>
      </c>
      <c r="J33" s="10"/>
    </row>
    <row r="34" spans="1:10" ht="27.95" customHeight="1">
      <c r="A34" s="12">
        <v>23</v>
      </c>
      <c r="B34" s="9" t="s">
        <v>18</v>
      </c>
      <c r="C34" s="12" t="s">
        <v>92</v>
      </c>
      <c r="D34" s="10" t="s">
        <v>94</v>
      </c>
      <c r="E34" s="10"/>
      <c r="F34" s="13" t="b">
        <v>0</v>
      </c>
      <c r="G34" s="13" t="b">
        <v>0</v>
      </c>
      <c r="H34" s="13" t="b">
        <v>0</v>
      </c>
      <c r="I34" s="14" t="str">
        <f>IF(COUNTIF(F34:H34,TRUE)=0,"offen",IF(COUNTIF(F34:H34,TRUE)&gt;1,"mehrfach!",IF(G34=TRUE,"n. i. O.","erledigt")))</f>
        <v>offen</v>
      </c>
      <c r="J34" s="10"/>
    </row>
    <row r="35" spans="1:10" ht="27.95" customHeight="1">
      <c r="A35" s="12">
        <v>24</v>
      </c>
      <c r="B35" s="9" t="s">
        <v>18</v>
      </c>
      <c r="C35" s="12" t="s">
        <v>95</v>
      </c>
      <c r="D35" s="10" t="s">
        <v>96</v>
      </c>
      <c r="E35" s="10"/>
      <c r="F35" s="13" t="b">
        <v>0</v>
      </c>
      <c r="G35" s="13" t="b">
        <v>0</v>
      </c>
      <c r="H35" s="13" t="b">
        <v>0</v>
      </c>
      <c r="I35" s="14" t="str">
        <f>IF(COUNTIF(F35:H35,TRUE)=0,"offen",IF(COUNTIF(F35:H35,TRUE)&gt;1,"mehrfach!",IF(G35=TRUE,"n. i. O.","erledigt")))</f>
        <v>offen</v>
      </c>
      <c r="J35" s="10"/>
    </row>
    <row r="36" spans="1:10" ht="27.95" customHeight="1">
      <c r="A36" s="12">
        <v>25</v>
      </c>
      <c r="B36" s="9" t="s">
        <v>18</v>
      </c>
      <c r="C36" s="12" t="s">
        <v>97</v>
      </c>
      <c r="D36" s="10" t="s">
        <v>98</v>
      </c>
      <c r="E36" s="10"/>
      <c r="F36" s="13" t="b">
        <v>0</v>
      </c>
      <c r="G36" s="13" t="b">
        <v>0</v>
      </c>
      <c r="H36" s="13" t="b">
        <v>0</v>
      </c>
      <c r="I36" s="14" t="str">
        <f>IF(COUNTIF(F36:H36,TRUE)=0,"offen",IF(COUNTIF(F36:H36,TRUE)&gt;1,"mehrfach!",IF(G36=TRUE,"n. i. O.","erledigt")))</f>
        <v>offen</v>
      </c>
      <c r="J36" s="10"/>
    </row>
    <row r="37" spans="1:10">
      <c r="A37" s="29" t="s">
        <v>99</v>
      </c>
      <c r="B37" s="29"/>
      <c r="C37" s="29"/>
      <c r="D37" s="29"/>
      <c r="E37" s="29"/>
      <c r="F37" s="29"/>
      <c r="G37" s="29"/>
      <c r="H37" s="29"/>
      <c r="I37" s="29"/>
      <c r="J37" s="29"/>
    </row>
    <row r="38" spans="1:10" ht="27.95" customHeight="1">
      <c r="A38" s="12">
        <v>26</v>
      </c>
      <c r="B38" s="9" t="s">
        <v>18</v>
      </c>
      <c r="C38" s="12" t="s">
        <v>100</v>
      </c>
      <c r="D38" s="10" t="s">
        <v>101</v>
      </c>
      <c r="E38" s="19" t="s">
        <v>102</v>
      </c>
      <c r="F38" s="13" t="b">
        <v>0</v>
      </c>
      <c r="G38" s="13" t="b">
        <v>0</v>
      </c>
      <c r="H38" s="13" t="b">
        <v>0</v>
      </c>
      <c r="I38" s="14" t="str">
        <f>IF(COUNTIF(F38:H38,TRUE)=0,"offen",IF(COUNTIF(F38:H38,TRUE)&gt;1,"mehrfach!",IF(G38=TRUE,"n. i. O.","erledigt")))</f>
        <v>offen</v>
      </c>
      <c r="J38" s="10"/>
    </row>
    <row r="39" spans="1:10" ht="27.95" customHeight="1">
      <c r="A39" s="12">
        <v>27</v>
      </c>
      <c r="B39" s="9" t="s">
        <v>18</v>
      </c>
      <c r="C39" s="12" t="s">
        <v>100</v>
      </c>
      <c r="D39" s="10" t="s">
        <v>103</v>
      </c>
      <c r="E39" s="10"/>
      <c r="F39" s="13" t="b">
        <v>0</v>
      </c>
      <c r="G39" s="13" t="b">
        <v>0</v>
      </c>
      <c r="H39" s="13" t="b">
        <v>0</v>
      </c>
      <c r="I39" s="14" t="str">
        <f>IF(COUNTIF(F39:H39,TRUE)=0,"offen",IF(COUNTIF(F39:H39,TRUE)&gt;1,"mehrfach!",IF(G39=TRUE,"n. i. O.","erledigt")))</f>
        <v>offen</v>
      </c>
      <c r="J39" s="10"/>
    </row>
    <row r="40" spans="1:10" ht="27.95" customHeight="1">
      <c r="A40" s="12">
        <v>28</v>
      </c>
      <c r="B40" s="9" t="s">
        <v>18</v>
      </c>
      <c r="C40" s="12" t="s">
        <v>100</v>
      </c>
      <c r="D40" s="10" t="s">
        <v>104</v>
      </c>
      <c r="E40" s="10"/>
      <c r="F40" s="13" t="b">
        <v>0</v>
      </c>
      <c r="G40" s="13" t="b">
        <v>0</v>
      </c>
      <c r="H40" s="13" t="b">
        <v>0</v>
      </c>
      <c r="I40" s="14" t="str">
        <f>IF(COUNTIF(F40:H40,TRUE)=0,"offen",IF(COUNTIF(F40:H40,TRUE)&gt;1,"mehrfach!",IF(G40=TRUE,"n. i. O.","erledigt")))</f>
        <v>offen</v>
      </c>
      <c r="J40" s="10"/>
    </row>
    <row r="41" spans="1:10" ht="27.95" customHeight="1">
      <c r="A41" s="12">
        <v>29</v>
      </c>
      <c r="B41" s="9" t="s">
        <v>18</v>
      </c>
      <c r="C41" s="12" t="s">
        <v>100</v>
      </c>
      <c r="D41" s="10" t="s">
        <v>105</v>
      </c>
      <c r="E41" s="10"/>
      <c r="F41" s="13" t="b">
        <v>0</v>
      </c>
      <c r="G41" s="13" t="b">
        <v>0</v>
      </c>
      <c r="H41" s="13" t="b">
        <v>0</v>
      </c>
      <c r="I41" s="14" t="str">
        <f>IF(COUNTIF(F41:H41,TRUE)=0,"offen",IF(COUNTIF(F41:H41,TRUE)&gt;1,"mehrfach!",IF(G41=TRUE,"n. i. O.","erledigt")))</f>
        <v>offen</v>
      </c>
      <c r="J41" s="10"/>
    </row>
    <row r="42" spans="1:10">
      <c r="A42" s="29" t="s">
        <v>106</v>
      </c>
      <c r="B42" s="29"/>
      <c r="C42" s="29"/>
      <c r="D42" s="29"/>
      <c r="E42" s="29"/>
      <c r="F42" s="29"/>
      <c r="G42" s="29"/>
      <c r="H42" s="29"/>
      <c r="I42" s="29"/>
      <c r="J42" s="29"/>
    </row>
    <row r="43" spans="1:10" ht="15.6" customHeight="1">
      <c r="A43" s="12">
        <v>30</v>
      </c>
      <c r="B43" s="9" t="s">
        <v>18</v>
      </c>
      <c r="C43" s="12" t="s">
        <v>107</v>
      </c>
      <c r="D43" s="10" t="s">
        <v>108</v>
      </c>
      <c r="E43" s="10"/>
      <c r="F43" s="13" t="b">
        <v>0</v>
      </c>
      <c r="G43" s="13" t="b">
        <v>0</v>
      </c>
      <c r="H43" s="13" t="b">
        <v>0</v>
      </c>
      <c r="I43" s="14" t="str">
        <f>IF(COUNTIF(F43:H43,TRUE)=0,"offen",IF(COUNTIF(F43:H43,TRUE)&gt;1,"mehrfach!",IF(G43=TRUE,"n. i. O.","erledigt")))</f>
        <v>offen</v>
      </c>
      <c r="J43" s="10"/>
    </row>
    <row r="44" spans="1:10" ht="27.95" customHeight="1">
      <c r="A44" s="12">
        <v>31</v>
      </c>
      <c r="B44" s="9" t="s">
        <v>18</v>
      </c>
      <c r="C44" s="12" t="s">
        <v>109</v>
      </c>
      <c r="D44" s="10" t="s">
        <v>110</v>
      </c>
      <c r="E44" s="10"/>
      <c r="F44" s="13" t="b">
        <v>0</v>
      </c>
      <c r="G44" s="13" t="b">
        <v>0</v>
      </c>
      <c r="H44" s="13" t="b">
        <v>0</v>
      </c>
      <c r="I44" s="14" t="str">
        <f>IF(COUNTIF(F44:H44,TRUE)=0,"offen",IF(COUNTIF(F44:H44,TRUE)&gt;1,"mehrfach!",IF(G44=TRUE,"n. i. O.","erledigt")))</f>
        <v>offen</v>
      </c>
      <c r="J44" s="10"/>
    </row>
    <row r="45" spans="1:10" ht="27.95" customHeight="1">
      <c r="A45" s="12">
        <v>32</v>
      </c>
      <c r="B45" s="9" t="s">
        <v>18</v>
      </c>
      <c r="C45" s="12" t="s">
        <v>109</v>
      </c>
      <c r="D45" s="10" t="s">
        <v>111</v>
      </c>
      <c r="E45" s="10"/>
      <c r="F45" s="13" t="b">
        <v>0</v>
      </c>
      <c r="G45" s="13" t="b">
        <v>0</v>
      </c>
      <c r="H45" s="13" t="b">
        <v>0</v>
      </c>
      <c r="I45" s="14" t="str">
        <f>IF(COUNTIF(F45:H45,TRUE)=0,"offen",IF(COUNTIF(F45:H45,TRUE)&gt;1,"mehrfach!",IF(G45=TRUE,"n. i. O.","erledigt")))</f>
        <v>offen</v>
      </c>
      <c r="J45" s="10"/>
    </row>
    <row r="46" spans="1:10" ht="27.95" customHeight="1">
      <c r="A46" s="12">
        <v>33</v>
      </c>
      <c r="B46" s="9" t="s">
        <v>18</v>
      </c>
      <c r="C46" s="12" t="s">
        <v>112</v>
      </c>
      <c r="D46" s="10" t="s">
        <v>113</v>
      </c>
      <c r="E46" s="10"/>
      <c r="F46" s="13" t="b">
        <v>0</v>
      </c>
      <c r="G46" s="13" t="b">
        <v>0</v>
      </c>
      <c r="H46" s="13" t="b">
        <v>0</v>
      </c>
      <c r="I46" s="14" t="str">
        <f>IF(COUNTIF(F46:H46,TRUE)=0,"offen",IF(COUNTIF(F46:H46,TRUE)&gt;1,"mehrfach!",IF(G46=TRUE,"n. i. O.","erledigt")))</f>
        <v>offen</v>
      </c>
      <c r="J46" s="10"/>
    </row>
    <row r="47" spans="1:10" ht="27.95" customHeight="1">
      <c r="A47" s="12">
        <v>34</v>
      </c>
      <c r="B47" s="9" t="s">
        <v>18</v>
      </c>
      <c r="C47" s="12" t="s">
        <v>114</v>
      </c>
      <c r="D47" s="10" t="s">
        <v>115</v>
      </c>
      <c r="E47" s="10"/>
      <c r="F47" s="13" t="b">
        <v>0</v>
      </c>
      <c r="G47" s="13" t="b">
        <v>0</v>
      </c>
      <c r="H47" s="13" t="b">
        <v>0</v>
      </c>
      <c r="I47" s="14" t="str">
        <f>IF(COUNTIF(F47:H47,TRUE)=0,"offen",IF(COUNTIF(F47:H47,TRUE)&gt;1,"mehrfach!",IF(G47=TRUE,"n. i. O.","erledigt")))</f>
        <v>offen</v>
      </c>
      <c r="J47" s="10"/>
    </row>
    <row r="48" spans="1:10" ht="27.95" customHeight="1">
      <c r="A48" s="12">
        <v>35</v>
      </c>
      <c r="B48" s="9" t="s">
        <v>18</v>
      </c>
      <c r="C48" s="12" t="s">
        <v>116</v>
      </c>
      <c r="D48" s="10" t="s">
        <v>117</v>
      </c>
      <c r="E48" s="10"/>
      <c r="F48" s="13" t="b">
        <v>0</v>
      </c>
      <c r="G48" s="13" t="b">
        <v>0</v>
      </c>
      <c r="H48" s="13" t="b">
        <v>0</v>
      </c>
      <c r="I48" s="14" t="str">
        <f>IF(COUNTIF(F48:H48,TRUE)=0,"offen",IF(COUNTIF(F48:H48,TRUE)&gt;1,"mehrfach!",IF(G48=TRUE,"n. i. O.","erledigt")))</f>
        <v>offen</v>
      </c>
      <c r="J48" s="10"/>
    </row>
    <row r="49" spans="1:10" ht="27.95" customHeight="1">
      <c r="A49" s="12">
        <v>36</v>
      </c>
      <c r="B49" s="9" t="s">
        <v>18</v>
      </c>
      <c r="C49" s="12" t="s">
        <v>118</v>
      </c>
      <c r="D49" s="10" t="s">
        <v>119</v>
      </c>
      <c r="E49" s="10"/>
      <c r="F49" s="13" t="b">
        <v>0</v>
      </c>
      <c r="G49" s="13" t="b">
        <v>0</v>
      </c>
      <c r="H49" s="13" t="b">
        <v>0</v>
      </c>
      <c r="I49" s="14" t="str">
        <f>IF(COUNTIF(F49:H49,TRUE)=0,"offen",IF(COUNTIF(F49:H49,TRUE)&gt;1,"mehrfach!",IF(G49=TRUE,"n. i. O.","erledigt")))</f>
        <v>offen</v>
      </c>
      <c r="J49" s="10"/>
    </row>
    <row r="50" spans="1:10" ht="27.95" customHeight="1">
      <c r="A50" s="12">
        <v>37</v>
      </c>
      <c r="B50" s="9" t="s">
        <v>18</v>
      </c>
      <c r="C50" s="12" t="s">
        <v>120</v>
      </c>
      <c r="D50" s="10" t="s">
        <v>121</v>
      </c>
      <c r="E50" s="10"/>
      <c r="F50" s="13" t="b">
        <v>0</v>
      </c>
      <c r="G50" s="13" t="b">
        <v>0</v>
      </c>
      <c r="H50" s="13" t="b">
        <v>0</v>
      </c>
      <c r="I50" s="14" t="str">
        <f>IF(COUNTIF(F50:H50,TRUE)=0,"offen",IF(COUNTIF(F50:H50,TRUE)&gt;1,"mehrfach!",IF(G50=TRUE,"n. i. O.","erledigt")))</f>
        <v>offen</v>
      </c>
      <c r="J50" s="10"/>
    </row>
    <row r="51" spans="1:10">
      <c r="A51" s="29" t="s">
        <v>122</v>
      </c>
      <c r="B51" s="29"/>
      <c r="C51" s="29"/>
      <c r="D51" s="29"/>
      <c r="E51" s="29"/>
      <c r="F51" s="29"/>
      <c r="G51" s="29"/>
      <c r="H51" s="29"/>
      <c r="I51" s="29"/>
      <c r="J51" s="29"/>
    </row>
    <row r="52" spans="1:10" ht="27.95" customHeight="1">
      <c r="A52" s="12">
        <v>38</v>
      </c>
      <c r="B52" s="9" t="s">
        <v>18</v>
      </c>
      <c r="C52" s="12" t="s">
        <v>123</v>
      </c>
      <c r="D52" s="10" t="s">
        <v>124</v>
      </c>
      <c r="E52" s="10"/>
      <c r="F52" s="13" t="b">
        <v>0</v>
      </c>
      <c r="G52" s="13" t="b">
        <v>0</v>
      </c>
      <c r="H52" s="13" t="b">
        <v>0</v>
      </c>
      <c r="I52" s="14" t="str">
        <f>IF(COUNTIF(F52:H52,TRUE)=0,"offen",IF(COUNTIF(F52:H52,TRUE)&gt;1,"mehrfach!",IF(G52=TRUE,"n. i. O.","erledigt")))</f>
        <v>offen</v>
      </c>
      <c r="J52" s="10"/>
    </row>
    <row r="53" spans="1:10" ht="27.95" customHeight="1">
      <c r="A53" s="12">
        <v>39</v>
      </c>
      <c r="B53" s="9" t="s">
        <v>18</v>
      </c>
      <c r="C53" s="12" t="s">
        <v>123</v>
      </c>
      <c r="D53" s="10" t="s">
        <v>125</v>
      </c>
      <c r="E53" s="10"/>
      <c r="F53" s="13" t="b">
        <v>0</v>
      </c>
      <c r="G53" s="13" t="b">
        <v>0</v>
      </c>
      <c r="H53" s="13" t="b">
        <v>0</v>
      </c>
      <c r="I53" s="14" t="str">
        <f>IF(COUNTIF(F53:H53,TRUE)=0,"offen",IF(COUNTIF(F53:H53,TRUE)&gt;1,"mehrfach!",IF(G53=TRUE,"n. i. O.","erledigt")))</f>
        <v>offen</v>
      </c>
      <c r="J53" s="10"/>
    </row>
    <row r="54" spans="1:10">
      <c r="A54" s="29" t="s">
        <v>126</v>
      </c>
      <c r="B54" s="29"/>
      <c r="C54" s="29"/>
      <c r="D54" s="29"/>
      <c r="E54" s="29"/>
      <c r="F54" s="29"/>
      <c r="G54" s="29"/>
      <c r="H54" s="29"/>
      <c r="I54" s="29"/>
      <c r="J54" s="29"/>
    </row>
    <row r="55" spans="1:10" ht="27.95" customHeight="1">
      <c r="A55" s="12">
        <v>40</v>
      </c>
      <c r="B55" s="9" t="s">
        <v>18</v>
      </c>
      <c r="C55" s="12" t="s">
        <v>127</v>
      </c>
      <c r="D55" s="10" t="s">
        <v>128</v>
      </c>
      <c r="E55" s="10"/>
      <c r="F55" s="13" t="b">
        <v>0</v>
      </c>
      <c r="G55" s="13" t="b">
        <v>0</v>
      </c>
      <c r="H55" s="13" t="b">
        <v>0</v>
      </c>
      <c r="I55" s="14" t="str">
        <f>IF(COUNTIF(F55:H55,TRUE)=0,"offen",IF(COUNTIF(F55:H55,TRUE)&gt;1,"mehrfach!",IF(G55=TRUE,"n. i. O.","erledigt")))</f>
        <v>offen</v>
      </c>
      <c r="J55" s="10"/>
    </row>
    <row r="56" spans="1:10" ht="27.95" customHeight="1">
      <c r="A56" s="12">
        <v>41</v>
      </c>
      <c r="B56" s="9" t="s">
        <v>18</v>
      </c>
      <c r="C56" s="12" t="s">
        <v>127</v>
      </c>
      <c r="D56" s="10" t="s">
        <v>129</v>
      </c>
      <c r="E56" s="10"/>
      <c r="F56" s="13" t="b">
        <v>0</v>
      </c>
      <c r="G56" s="13" t="b">
        <v>0</v>
      </c>
      <c r="H56" s="13" t="b">
        <v>0</v>
      </c>
      <c r="I56" s="14" t="str">
        <f>IF(COUNTIF(F56:H56,TRUE)=0,"offen",IF(COUNTIF(F56:H56,TRUE)&gt;1,"mehrfach!",IF(G56=TRUE,"n. i. O.","erledigt")))</f>
        <v>offen</v>
      </c>
      <c r="J56" s="10"/>
    </row>
    <row r="57" spans="1:10" ht="27.95" customHeight="1">
      <c r="A57" s="12">
        <v>42</v>
      </c>
      <c r="B57" s="9" t="s">
        <v>18</v>
      </c>
      <c r="C57" s="12" t="s">
        <v>127</v>
      </c>
      <c r="D57" s="10" t="s">
        <v>130</v>
      </c>
      <c r="E57" s="10"/>
      <c r="F57" s="13" t="b">
        <v>0</v>
      </c>
      <c r="G57" s="13" t="b">
        <v>0</v>
      </c>
      <c r="H57" s="13" t="b">
        <v>0</v>
      </c>
      <c r="I57" s="14" t="str">
        <f>IF(COUNTIF(F57:H57,TRUE)=0,"offen",IF(COUNTIF(F57:H57,TRUE)&gt;1,"mehrfach!",IF(G57=TRUE,"n. i. O.","erledigt")))</f>
        <v>offen</v>
      </c>
      <c r="J57" s="10"/>
    </row>
    <row r="58" spans="1:10">
      <c r="A58" s="29" t="s">
        <v>131</v>
      </c>
      <c r="B58" s="29"/>
      <c r="C58" s="29"/>
      <c r="D58" s="29"/>
      <c r="E58" s="29"/>
      <c r="F58" s="29"/>
      <c r="G58" s="29"/>
      <c r="H58" s="29"/>
      <c r="I58" s="29"/>
      <c r="J58" s="29"/>
    </row>
    <row r="59" spans="1:10" ht="27.95" customHeight="1">
      <c r="A59" s="12">
        <v>43</v>
      </c>
      <c r="B59" s="9" t="s">
        <v>18</v>
      </c>
      <c r="C59" s="12" t="s">
        <v>132</v>
      </c>
      <c r="D59" s="10" t="s">
        <v>133</v>
      </c>
      <c r="E59" s="10"/>
      <c r="F59" s="13" t="b">
        <v>0</v>
      </c>
      <c r="G59" s="13" t="b">
        <v>0</v>
      </c>
      <c r="H59" s="13" t="b">
        <v>0</v>
      </c>
      <c r="I59" s="14" t="str">
        <f>IF(COUNTIF(F59:H59,TRUE)=0,"offen",IF(COUNTIF(F59:H59,TRUE)&gt;1,"mehrfach!",IF(G59=TRUE,"n. i. O.","erledigt")))</f>
        <v>offen</v>
      </c>
      <c r="J59" s="10"/>
    </row>
    <row r="60" spans="1:10" ht="27.95" customHeight="1">
      <c r="A60" s="12">
        <v>44</v>
      </c>
      <c r="B60" s="9" t="s">
        <v>18</v>
      </c>
      <c r="C60" s="12" t="s">
        <v>134</v>
      </c>
      <c r="D60" s="10" t="s">
        <v>135</v>
      </c>
      <c r="E60" s="10"/>
      <c r="F60" s="13" t="b">
        <v>0</v>
      </c>
      <c r="G60" s="13" t="b">
        <v>0</v>
      </c>
      <c r="H60" s="13" t="b">
        <v>0</v>
      </c>
      <c r="I60" s="14" t="str">
        <f>IF(COUNTIF(F60:H60,TRUE)=0,"offen",IF(COUNTIF(F60:H60,TRUE)&gt;1,"mehrfach!",IF(G60=TRUE,"n. i. O.","erledigt")))</f>
        <v>offen</v>
      </c>
      <c r="J60" s="10"/>
    </row>
    <row r="61" spans="1:10">
      <c r="A61" s="29" t="s">
        <v>136</v>
      </c>
      <c r="B61" s="29"/>
      <c r="C61" s="29"/>
      <c r="D61" s="29"/>
      <c r="E61" s="29"/>
      <c r="F61" s="29"/>
      <c r="G61" s="29"/>
      <c r="H61" s="29"/>
      <c r="I61" s="29"/>
      <c r="J61" s="29"/>
    </row>
    <row r="62" spans="1:10" ht="27.95" customHeight="1">
      <c r="A62" s="12">
        <v>45</v>
      </c>
      <c r="B62" s="9" t="s">
        <v>18</v>
      </c>
      <c r="C62" s="12" t="s">
        <v>137</v>
      </c>
      <c r="D62" s="10" t="s">
        <v>138</v>
      </c>
      <c r="E62" s="10"/>
      <c r="F62" s="13" t="b">
        <v>0</v>
      </c>
      <c r="G62" s="13" t="b">
        <v>0</v>
      </c>
      <c r="H62" s="13" t="b">
        <v>0</v>
      </c>
      <c r="I62" s="14" t="str">
        <f>IF(COUNTIF(F62:H62,TRUE)=0,"offen",IF(COUNTIF(F62:H62,TRUE)&gt;1,"mehrfach!",IF(G62=TRUE,"n. i. O.","erledigt")))</f>
        <v>offen</v>
      </c>
      <c r="J62" s="10"/>
    </row>
    <row r="63" spans="1:10">
      <c r="A63" s="29" t="s">
        <v>139</v>
      </c>
      <c r="B63" s="29"/>
      <c r="C63" s="29"/>
      <c r="D63" s="29"/>
      <c r="E63" s="29"/>
      <c r="F63" s="29"/>
      <c r="G63" s="29"/>
      <c r="H63" s="29"/>
      <c r="I63" s="29"/>
      <c r="J63" s="29"/>
    </row>
    <row r="64" spans="1:10" ht="27.95" customHeight="1">
      <c r="A64" s="12">
        <v>46</v>
      </c>
      <c r="B64" s="9" t="s">
        <v>18</v>
      </c>
      <c r="C64" s="12" t="s">
        <v>140</v>
      </c>
      <c r="D64" s="10" t="s">
        <v>141</v>
      </c>
      <c r="E64" s="19" t="s">
        <v>142</v>
      </c>
      <c r="F64" s="13" t="b">
        <v>0</v>
      </c>
      <c r="G64" s="13" t="b">
        <v>0</v>
      </c>
      <c r="H64" s="13" t="b">
        <v>0</v>
      </c>
      <c r="I64" s="14" t="str">
        <f>IF(COUNTIF(F64:H64,TRUE)=0,"offen",IF(COUNTIF(F64:H64,TRUE)&gt;1,"mehrfach!",IF(G64=TRUE,"n. i. O.","erledigt")))</f>
        <v>offen</v>
      </c>
      <c r="J64" s="10"/>
    </row>
    <row r="65" spans="1:10" ht="27.95" customHeight="1">
      <c r="A65" s="12">
        <v>47</v>
      </c>
      <c r="B65" s="9" t="s">
        <v>18</v>
      </c>
      <c r="C65" s="12" t="s">
        <v>140</v>
      </c>
      <c r="D65" s="10" t="s">
        <v>143</v>
      </c>
      <c r="E65" s="10"/>
      <c r="F65" s="13" t="b">
        <v>0</v>
      </c>
      <c r="G65" s="13" t="b">
        <v>0</v>
      </c>
      <c r="H65" s="13" t="b">
        <v>0</v>
      </c>
      <c r="I65" s="14" t="str">
        <f>IF(COUNTIF(F65:H65,TRUE)=0,"offen",IF(COUNTIF(F65:H65,TRUE)&gt;1,"mehrfach!",IF(G65=TRUE,"n. i. O.","erledigt")))</f>
        <v>offen</v>
      </c>
      <c r="J65" s="10"/>
    </row>
    <row r="66" spans="1:10" ht="27.95" customHeight="1">
      <c r="A66" s="12">
        <v>48</v>
      </c>
      <c r="B66" s="9" t="s">
        <v>18</v>
      </c>
      <c r="C66" s="12" t="s">
        <v>140</v>
      </c>
      <c r="D66" s="10" t="s">
        <v>144</v>
      </c>
      <c r="E66" s="10"/>
      <c r="F66" s="13" t="b">
        <v>0</v>
      </c>
      <c r="G66" s="13" t="b">
        <v>0</v>
      </c>
      <c r="H66" s="13" t="b">
        <v>0</v>
      </c>
      <c r="I66" s="14" t="str">
        <f>IF(COUNTIF(F66:H66,TRUE)=0,"offen",IF(COUNTIF(F66:H66,TRUE)&gt;1,"mehrfach!",IF(G66=TRUE,"n. i. O.","erledigt")))</f>
        <v>offen</v>
      </c>
      <c r="J66" s="10"/>
    </row>
    <row r="67" spans="1:10" ht="15.6" customHeight="1">
      <c r="A67" s="12">
        <v>49</v>
      </c>
      <c r="B67" s="9" t="s">
        <v>18</v>
      </c>
      <c r="C67" s="12" t="s">
        <v>140</v>
      </c>
      <c r="D67" s="10" t="s">
        <v>145</v>
      </c>
      <c r="E67" s="10"/>
      <c r="F67" s="13" t="b">
        <v>0</v>
      </c>
      <c r="G67" s="13" t="b">
        <v>0</v>
      </c>
      <c r="H67" s="13" t="b">
        <v>0</v>
      </c>
      <c r="I67" s="14" t="str">
        <f>IF(COUNTIF(F67:H67,TRUE)=0,"offen",IF(COUNTIF(F67:H67,TRUE)&gt;1,"mehrfach!",IF(G67=TRUE,"n. i. O.","erledigt")))</f>
        <v>offen</v>
      </c>
      <c r="J67" s="10"/>
    </row>
    <row r="68" spans="1:10" ht="15.6" customHeight="1">
      <c r="A68" s="12">
        <v>50</v>
      </c>
      <c r="B68" s="9" t="s">
        <v>18</v>
      </c>
      <c r="C68" s="12" t="s">
        <v>140</v>
      </c>
      <c r="D68" s="10" t="s">
        <v>146</v>
      </c>
      <c r="E68" s="10"/>
      <c r="F68" s="13" t="b">
        <v>0</v>
      </c>
      <c r="G68" s="13" t="b">
        <v>0</v>
      </c>
      <c r="H68" s="13" t="b">
        <v>0</v>
      </c>
      <c r="I68" s="14" t="str">
        <f>IF(COUNTIF(F68:H68,TRUE)=0,"offen",IF(COUNTIF(F68:H68,TRUE)&gt;1,"mehrfach!",IF(G68=TRUE,"n. i. O.","erledigt")))</f>
        <v>offen</v>
      </c>
      <c r="J68" s="10"/>
    </row>
    <row r="69" spans="1:10">
      <c r="A69" s="29" t="s">
        <v>147</v>
      </c>
      <c r="B69" s="29"/>
      <c r="C69" s="29"/>
      <c r="D69" s="29"/>
      <c r="E69" s="29"/>
      <c r="F69" s="29"/>
      <c r="G69" s="29"/>
      <c r="H69" s="29"/>
      <c r="I69" s="29"/>
      <c r="J69" s="29"/>
    </row>
    <row r="70" spans="1:10" ht="27.95" customHeight="1">
      <c r="A70" s="12">
        <v>51</v>
      </c>
      <c r="B70" s="9" t="s">
        <v>18</v>
      </c>
      <c r="C70" s="12" t="s">
        <v>148</v>
      </c>
      <c r="D70" s="10" t="s">
        <v>149</v>
      </c>
      <c r="E70" s="19" t="s">
        <v>150</v>
      </c>
      <c r="F70" s="13" t="b">
        <v>0</v>
      </c>
      <c r="G70" s="13" t="b">
        <v>0</v>
      </c>
      <c r="H70" s="13" t="b">
        <v>0</v>
      </c>
      <c r="I70" s="14" t="str">
        <f>IF(COUNTIF(F70:H70,TRUE)=0,"offen",IF(COUNTIF(F70:H70,TRUE)&gt;1,"mehrfach!",IF(G70=TRUE,"n. i. O.","erledigt")))</f>
        <v>offen</v>
      </c>
      <c r="J70" s="10"/>
    </row>
    <row r="71" spans="1:10" ht="27.95" customHeight="1">
      <c r="A71" s="12">
        <v>52</v>
      </c>
      <c r="B71" s="9" t="s">
        <v>18</v>
      </c>
      <c r="C71" s="12" t="s">
        <v>151</v>
      </c>
      <c r="D71" s="10" t="s">
        <v>152</v>
      </c>
      <c r="E71" s="10"/>
      <c r="F71" s="13" t="b">
        <v>0</v>
      </c>
      <c r="G71" s="13" t="b">
        <v>0</v>
      </c>
      <c r="H71" s="13" t="b">
        <v>0</v>
      </c>
      <c r="I71" s="14" t="str">
        <f>IF(COUNTIF(F71:H71,TRUE)=0,"offen",IF(COUNTIF(F71:H71,TRUE)&gt;1,"mehrfach!",IF(G71=TRUE,"n. i. O.","erledigt")))</f>
        <v>offen</v>
      </c>
      <c r="J71" s="10"/>
    </row>
    <row r="72" spans="1:10" ht="27.95" customHeight="1">
      <c r="A72" s="12">
        <v>53</v>
      </c>
      <c r="B72" s="9" t="s">
        <v>18</v>
      </c>
      <c r="C72" s="12" t="s">
        <v>153</v>
      </c>
      <c r="D72" s="10" t="s">
        <v>154</v>
      </c>
      <c r="E72" s="10"/>
      <c r="F72" s="13" t="b">
        <v>0</v>
      </c>
      <c r="G72" s="13" t="b">
        <v>0</v>
      </c>
      <c r="H72" s="13" t="b">
        <v>0</v>
      </c>
      <c r="I72" s="14" t="str">
        <f>IF(COUNTIF(F72:H72,TRUE)=0,"offen",IF(COUNTIF(F72:H72,TRUE)&gt;1,"mehrfach!",IF(G72=TRUE,"n. i. O.","erledigt")))</f>
        <v>offen</v>
      </c>
      <c r="J72" s="10"/>
    </row>
    <row r="73" spans="1:10">
      <c r="A73" s="29" t="s">
        <v>155</v>
      </c>
      <c r="B73" s="29"/>
      <c r="C73" s="29"/>
      <c r="D73" s="29"/>
      <c r="E73" s="29"/>
      <c r="F73" s="29"/>
      <c r="G73" s="29"/>
      <c r="H73" s="29"/>
      <c r="I73" s="29"/>
      <c r="J73" s="29"/>
    </row>
    <row r="74" spans="1:10" ht="27.95" customHeight="1">
      <c r="A74" s="12">
        <v>54</v>
      </c>
      <c r="B74" s="9" t="s">
        <v>18</v>
      </c>
      <c r="C74" s="12" t="s">
        <v>156</v>
      </c>
      <c r="D74" s="10" t="s">
        <v>157</v>
      </c>
      <c r="E74" s="19" t="s">
        <v>158</v>
      </c>
      <c r="F74" s="13" t="b">
        <v>0</v>
      </c>
      <c r="G74" s="13" t="b">
        <v>0</v>
      </c>
      <c r="H74" s="13" t="b">
        <v>0</v>
      </c>
      <c r="I74" s="14" t="str">
        <f>IF(COUNTIF(F74:H74,TRUE)=0,"offen",IF(COUNTIF(F74:H74,TRUE)&gt;1,"mehrfach!",IF(G74=TRUE,"n. i. O.","erledigt")))</f>
        <v>offen</v>
      </c>
      <c r="J74" s="10"/>
    </row>
    <row r="75" spans="1:10" ht="15.6" customHeight="1">
      <c r="A75" s="12">
        <v>55</v>
      </c>
      <c r="B75" s="9" t="s">
        <v>18</v>
      </c>
      <c r="C75" s="12" t="s">
        <v>156</v>
      </c>
      <c r="D75" s="10" t="s">
        <v>159</v>
      </c>
      <c r="E75" s="10"/>
      <c r="F75" s="13" t="b">
        <v>0</v>
      </c>
      <c r="G75" s="13" t="b">
        <v>0</v>
      </c>
      <c r="H75" s="13" t="b">
        <v>0</v>
      </c>
      <c r="I75" s="14" t="str">
        <f>IF(COUNTIF(F75:H75,TRUE)=0,"offen",IF(COUNTIF(F75:H75,TRUE)&gt;1,"mehrfach!",IF(G75=TRUE,"n. i. O.","erledigt")))</f>
        <v>offen</v>
      </c>
      <c r="J75" s="10"/>
    </row>
    <row r="76" spans="1:10" ht="27.95" customHeight="1">
      <c r="A76" s="12">
        <v>56</v>
      </c>
      <c r="B76" s="9" t="s">
        <v>18</v>
      </c>
      <c r="C76" s="12" t="s">
        <v>156</v>
      </c>
      <c r="D76" s="10" t="s">
        <v>160</v>
      </c>
      <c r="E76" s="10"/>
      <c r="F76" s="13" t="b">
        <v>0</v>
      </c>
      <c r="G76" s="13" t="b">
        <v>0</v>
      </c>
      <c r="H76" s="13" t="b">
        <v>0</v>
      </c>
      <c r="I76" s="14" t="str">
        <f>IF(COUNTIF(F76:H76,TRUE)=0,"offen",IF(COUNTIF(F76:H76,TRUE)&gt;1,"mehrfach!",IF(G76=TRUE,"n. i. O.","erledigt")))</f>
        <v>offen</v>
      </c>
      <c r="J76" s="10"/>
    </row>
    <row r="77" spans="1:10" ht="27.95" customHeight="1">
      <c r="A77" s="12">
        <v>57</v>
      </c>
      <c r="B77" s="9" t="s">
        <v>18</v>
      </c>
      <c r="C77" s="12" t="s">
        <v>156</v>
      </c>
      <c r="D77" s="10" t="s">
        <v>161</v>
      </c>
      <c r="E77" s="10"/>
      <c r="F77" s="13" t="b">
        <v>0</v>
      </c>
      <c r="G77" s="13" t="b">
        <v>0</v>
      </c>
      <c r="H77" s="13" t="b">
        <v>0</v>
      </c>
      <c r="I77" s="14" t="str">
        <f>IF(COUNTIF(F77:H77,TRUE)=0,"offen",IF(COUNTIF(F77:H77,TRUE)&gt;1,"mehrfach!",IF(G77=TRUE,"n. i. O.","erledigt")))</f>
        <v>offen</v>
      </c>
      <c r="J77" s="10"/>
    </row>
    <row r="78" spans="1:10" ht="15.6" customHeight="1">
      <c r="A78" s="12">
        <v>58</v>
      </c>
      <c r="B78" s="9" t="s">
        <v>18</v>
      </c>
      <c r="C78" s="12" t="s">
        <v>156</v>
      </c>
      <c r="D78" s="10" t="s">
        <v>162</v>
      </c>
      <c r="E78" s="10"/>
      <c r="F78" s="13" t="b">
        <v>0</v>
      </c>
      <c r="G78" s="13" t="b">
        <v>0</v>
      </c>
      <c r="H78" s="13" t="b">
        <v>0</v>
      </c>
      <c r="I78" s="14" t="str">
        <f>IF(COUNTIF(F78:H78,TRUE)=0,"offen",IF(COUNTIF(F78:H78,TRUE)&gt;1,"mehrfach!",IF(G78=TRUE,"n. i. O.","erledigt")))</f>
        <v>offen</v>
      </c>
      <c r="J78" s="10"/>
    </row>
    <row r="79" spans="1:10" ht="27.95" customHeight="1">
      <c r="A79" s="12">
        <v>59</v>
      </c>
      <c r="B79" s="9" t="s">
        <v>18</v>
      </c>
      <c r="C79" s="12" t="s">
        <v>156</v>
      </c>
      <c r="D79" s="10" t="s">
        <v>163</v>
      </c>
      <c r="E79" s="10"/>
      <c r="F79" s="13" t="b">
        <v>0</v>
      </c>
      <c r="G79" s="13" t="b">
        <v>0</v>
      </c>
      <c r="H79" s="13" t="b">
        <v>0</v>
      </c>
      <c r="I79" s="14" t="str">
        <f>IF(COUNTIF(F79:H79,TRUE)=0,"offen",IF(COUNTIF(F79:H79,TRUE)&gt;1,"mehrfach!",IF(G79=TRUE,"n. i. O.","erledigt")))</f>
        <v>offen</v>
      </c>
      <c r="J79" s="10"/>
    </row>
    <row r="80" spans="1:10" ht="27.95" customHeight="1">
      <c r="A80" s="12">
        <v>60</v>
      </c>
      <c r="B80" s="9" t="s">
        <v>18</v>
      </c>
      <c r="C80" s="12" t="s">
        <v>156</v>
      </c>
      <c r="D80" s="10" t="s">
        <v>164</v>
      </c>
      <c r="E80" s="10"/>
      <c r="F80" s="13" t="b">
        <v>0</v>
      </c>
      <c r="G80" s="13" t="b">
        <v>0</v>
      </c>
      <c r="H80" s="13" t="b">
        <v>0</v>
      </c>
      <c r="I80" s="14" t="str">
        <f>IF(COUNTIF(F80:H80,TRUE)=0,"offen",IF(COUNTIF(F80:H80,TRUE)&gt;1,"mehrfach!",IF(G80=TRUE,"n. i. O.","erledigt")))</f>
        <v>offen</v>
      </c>
      <c r="J80" s="10"/>
    </row>
    <row r="81" spans="1:10" ht="27.95" customHeight="1">
      <c r="A81" s="12">
        <v>61</v>
      </c>
      <c r="B81" s="9" t="s">
        <v>18</v>
      </c>
      <c r="C81" s="12" t="s">
        <v>156</v>
      </c>
      <c r="D81" s="10" t="s">
        <v>165</v>
      </c>
      <c r="E81" s="10"/>
      <c r="F81" s="13" t="b">
        <v>0</v>
      </c>
      <c r="G81" s="13" t="b">
        <v>0</v>
      </c>
      <c r="H81" s="13" t="b">
        <v>0</v>
      </c>
      <c r="I81" s="14" t="str">
        <f>IF(COUNTIF(F81:H81,TRUE)=0,"offen",IF(COUNTIF(F81:H81,TRUE)&gt;1,"mehrfach!",IF(G81=TRUE,"n. i. O.","erledigt")))</f>
        <v>offen</v>
      </c>
      <c r="J81" s="10"/>
    </row>
    <row r="82" spans="1:10">
      <c r="A82" s="29" t="s">
        <v>166</v>
      </c>
      <c r="B82" s="29"/>
      <c r="C82" s="29"/>
      <c r="D82" s="29"/>
      <c r="E82" s="29"/>
      <c r="F82" s="29"/>
      <c r="G82" s="29"/>
      <c r="H82" s="29"/>
      <c r="I82" s="29"/>
      <c r="J82" s="29"/>
    </row>
    <row r="83" spans="1:10" ht="27.95" customHeight="1">
      <c r="A83" s="12">
        <v>62</v>
      </c>
      <c r="B83" s="9" t="s">
        <v>18</v>
      </c>
      <c r="C83" s="12" t="s">
        <v>167</v>
      </c>
      <c r="D83" s="10" t="s">
        <v>168</v>
      </c>
      <c r="E83" s="10"/>
      <c r="F83" s="13" t="b">
        <v>0</v>
      </c>
      <c r="G83" s="13" t="b">
        <v>0</v>
      </c>
      <c r="H83" s="13" t="b">
        <v>0</v>
      </c>
      <c r="I83" s="14" t="str">
        <f>IF(COUNTIF(F83:H83,TRUE)=0,"offen",IF(COUNTIF(F83:H83,TRUE)&gt;1,"mehrfach!",IF(G83=TRUE,"n. i. O.","erledigt")))</f>
        <v>offen</v>
      </c>
      <c r="J83" s="10"/>
    </row>
    <row r="84" spans="1:10" ht="27.95" customHeight="1">
      <c r="A84" s="12">
        <v>63</v>
      </c>
      <c r="B84" s="9" t="s">
        <v>18</v>
      </c>
      <c r="C84" s="12" t="s">
        <v>167</v>
      </c>
      <c r="D84" s="10" t="s">
        <v>169</v>
      </c>
      <c r="E84" s="10"/>
      <c r="F84" s="13" t="b">
        <v>0</v>
      </c>
      <c r="G84" s="13" t="b">
        <v>0</v>
      </c>
      <c r="H84" s="13" t="b">
        <v>0</v>
      </c>
      <c r="I84" s="14" t="str">
        <f>IF(COUNTIF(F84:H84,TRUE)=0,"offen",IF(COUNTIF(F84:H84,TRUE)&gt;1,"mehrfach!",IF(G84=TRUE,"n. i. O.","erledigt")))</f>
        <v>offen</v>
      </c>
      <c r="J84" s="10"/>
    </row>
    <row r="85" spans="1:10">
      <c r="A85" s="29" t="s">
        <v>170</v>
      </c>
      <c r="B85" s="29"/>
      <c r="C85" s="29"/>
      <c r="D85" s="29"/>
      <c r="E85" s="29"/>
      <c r="F85" s="29"/>
      <c r="G85" s="29"/>
      <c r="H85" s="29"/>
      <c r="I85" s="29"/>
      <c r="J85" s="29"/>
    </row>
    <row r="86" spans="1:10" ht="27.95" customHeight="1">
      <c r="A86" s="12">
        <v>64</v>
      </c>
      <c r="B86" s="9" t="s">
        <v>18</v>
      </c>
      <c r="C86" s="12" t="s">
        <v>171</v>
      </c>
      <c r="D86" s="10" t="s">
        <v>172</v>
      </c>
      <c r="E86" s="10"/>
      <c r="F86" s="13" t="b">
        <v>0</v>
      </c>
      <c r="G86" s="13" t="b">
        <v>0</v>
      </c>
      <c r="H86" s="13" t="b">
        <v>0</v>
      </c>
      <c r="I86" s="14" t="str">
        <f>IF(COUNTIF(F86:H86,TRUE)=0,"offen",IF(COUNTIF(F86:H86,TRUE)&gt;1,"mehrfach!",IF(G86=TRUE,"n. i. O.","erledigt")))</f>
        <v>offen</v>
      </c>
      <c r="J86" s="10"/>
    </row>
    <row r="87" spans="1:10" ht="27.95" customHeight="1">
      <c r="A87" s="12">
        <v>65</v>
      </c>
      <c r="B87" s="9" t="s">
        <v>18</v>
      </c>
      <c r="C87" s="12" t="s">
        <v>171</v>
      </c>
      <c r="D87" s="10" t="s">
        <v>173</v>
      </c>
      <c r="E87" s="10"/>
      <c r="F87" s="13" t="b">
        <v>0</v>
      </c>
      <c r="G87" s="13" t="b">
        <v>0</v>
      </c>
      <c r="H87" s="13" t="b">
        <v>0</v>
      </c>
      <c r="I87" s="14" t="str">
        <f>IF(COUNTIF(F87:H87,TRUE)=0,"offen",IF(COUNTIF(F87:H87,TRUE)&gt;1,"mehrfach!",IF(G87=TRUE,"n. i. O.","erledigt")))</f>
        <v>offen</v>
      </c>
      <c r="J87" s="10"/>
    </row>
    <row r="88" spans="1:10">
      <c r="A88" s="29" t="s">
        <v>174</v>
      </c>
      <c r="B88" s="29"/>
      <c r="C88" s="29"/>
      <c r="D88" s="29"/>
      <c r="E88" s="29"/>
      <c r="F88" s="29"/>
      <c r="G88" s="29"/>
      <c r="H88" s="29"/>
      <c r="I88" s="29"/>
      <c r="J88" s="29"/>
    </row>
    <row r="89" spans="1:10" ht="27.95" customHeight="1">
      <c r="A89" s="12">
        <v>66</v>
      </c>
      <c r="B89" s="9" t="s">
        <v>18</v>
      </c>
      <c r="C89" s="12" t="s">
        <v>175</v>
      </c>
      <c r="D89" s="10" t="s">
        <v>176</v>
      </c>
      <c r="E89" s="19" t="s">
        <v>177</v>
      </c>
      <c r="F89" s="13" t="b">
        <v>0</v>
      </c>
      <c r="G89" s="13" t="b">
        <v>0</v>
      </c>
      <c r="H89" s="13" t="b">
        <v>0</v>
      </c>
      <c r="I89" s="14" t="str">
        <f>IF(COUNTIF(F89:H89,TRUE)=0,"offen",IF(COUNTIF(F89:H89,TRUE)&gt;1,"mehrfach!",IF(G89=TRUE,"n. i. O.","erledigt")))</f>
        <v>offen</v>
      </c>
      <c r="J89" s="10"/>
    </row>
    <row r="90" spans="1:10">
      <c r="A90" s="29" t="s">
        <v>178</v>
      </c>
      <c r="B90" s="29"/>
      <c r="C90" s="29"/>
      <c r="D90" s="29"/>
      <c r="E90" s="29"/>
      <c r="F90" s="29"/>
      <c r="G90" s="29"/>
      <c r="H90" s="29"/>
      <c r="I90" s="29"/>
      <c r="J90" s="29"/>
    </row>
    <row r="91" spans="1:10" ht="27.95" customHeight="1">
      <c r="A91" s="12">
        <v>67</v>
      </c>
      <c r="B91" s="9" t="s">
        <v>18</v>
      </c>
      <c r="C91" s="12" t="s">
        <v>179</v>
      </c>
      <c r="D91" s="10" t="s">
        <v>180</v>
      </c>
      <c r="E91" s="10"/>
      <c r="F91" s="13" t="b">
        <v>0</v>
      </c>
      <c r="G91" s="13" t="b">
        <v>0</v>
      </c>
      <c r="H91" s="13" t="b">
        <v>0</v>
      </c>
      <c r="I91" s="14" t="str">
        <f>IF(COUNTIF(F91:H91,TRUE)=0,"offen",IF(COUNTIF(F91:H91,TRUE)&gt;1,"mehrfach!",IF(G91=TRUE,"n. i. O.","erledigt")))</f>
        <v>offen</v>
      </c>
      <c r="J91" s="10"/>
    </row>
    <row r="92" spans="1:10" ht="40.5" customHeight="1">
      <c r="A92" s="12">
        <v>68</v>
      </c>
      <c r="B92" s="9" t="s">
        <v>18</v>
      </c>
      <c r="C92" s="12" t="s">
        <v>179</v>
      </c>
      <c r="D92" s="10" t="s">
        <v>181</v>
      </c>
      <c r="E92" s="10"/>
      <c r="F92" s="13" t="b">
        <v>0</v>
      </c>
      <c r="G92" s="13" t="b">
        <v>0</v>
      </c>
      <c r="H92" s="13" t="b">
        <v>0</v>
      </c>
      <c r="I92" s="14" t="str">
        <f>IF(COUNTIF(F92:H92,TRUE)=0,"offen",IF(COUNTIF(F92:H92,TRUE)&gt;1,"mehrfach!",IF(G92=TRUE,"n. i. O.","erledigt")))</f>
        <v>offen</v>
      </c>
      <c r="J92" s="10"/>
    </row>
    <row r="93" spans="1:10">
      <c r="A93" s="29" t="s">
        <v>182</v>
      </c>
      <c r="B93" s="29"/>
      <c r="C93" s="29"/>
      <c r="D93" s="29"/>
      <c r="E93" s="29"/>
      <c r="F93" s="29"/>
      <c r="G93" s="29"/>
      <c r="H93" s="29"/>
      <c r="I93" s="29"/>
      <c r="J93" s="29"/>
    </row>
    <row r="94" spans="1:10" ht="15.6" customHeight="1">
      <c r="A94" s="12">
        <v>69</v>
      </c>
      <c r="B94" s="9" t="s">
        <v>18</v>
      </c>
      <c r="C94" s="12" t="s">
        <v>183</v>
      </c>
      <c r="D94" s="10" t="s">
        <v>184</v>
      </c>
      <c r="E94" s="10"/>
      <c r="F94" s="13" t="b">
        <v>0</v>
      </c>
      <c r="G94" s="13" t="b">
        <v>0</v>
      </c>
      <c r="H94" s="13" t="b">
        <v>0</v>
      </c>
      <c r="I94" s="14" t="str">
        <f>IF(COUNTIF(F94:H94,TRUE)=0,"offen",IF(COUNTIF(F94:H94,TRUE)&gt;1,"mehrfach!",IF(G94=TRUE,"n. i. O.","erledigt")))</f>
        <v>offen</v>
      </c>
      <c r="J94" s="10"/>
    </row>
    <row r="95" spans="1:10">
      <c r="A95" s="29" t="s">
        <v>185</v>
      </c>
      <c r="B95" s="29"/>
      <c r="C95" s="29"/>
      <c r="D95" s="29"/>
      <c r="E95" s="29"/>
      <c r="F95" s="29"/>
      <c r="G95" s="29"/>
      <c r="H95" s="29"/>
      <c r="I95" s="29"/>
      <c r="J95" s="29"/>
    </row>
    <row r="96" spans="1:10" ht="27.95" customHeight="1">
      <c r="A96" s="12">
        <v>70</v>
      </c>
      <c r="B96" s="9" t="s">
        <v>18</v>
      </c>
      <c r="C96" s="12" t="s">
        <v>186</v>
      </c>
      <c r="D96" s="10" t="s">
        <v>187</v>
      </c>
      <c r="E96" s="10"/>
      <c r="F96" s="13" t="b">
        <v>0</v>
      </c>
      <c r="G96" s="13" t="b">
        <v>0</v>
      </c>
      <c r="H96" s="13" t="b">
        <v>0</v>
      </c>
      <c r="I96" s="14" t="str">
        <f>IF(COUNTIF(F96:H96,TRUE)=0,"offen",IF(COUNTIF(F96:H96,TRUE)&gt;1,"mehrfach!",IF(G96=TRUE,"n. i. O.","erledigt")))</f>
        <v>offen</v>
      </c>
      <c r="J96" s="10"/>
    </row>
    <row r="97" spans="1:10">
      <c r="A97" s="29" t="s">
        <v>188</v>
      </c>
      <c r="B97" s="29"/>
      <c r="C97" s="29"/>
      <c r="D97" s="29"/>
      <c r="E97" s="29"/>
      <c r="F97" s="29"/>
      <c r="G97" s="29"/>
      <c r="H97" s="29"/>
      <c r="I97" s="29"/>
      <c r="J97" s="29"/>
    </row>
    <row r="98" spans="1:10" ht="15.6" customHeight="1">
      <c r="A98" s="12">
        <v>71</v>
      </c>
      <c r="B98" s="9" t="s">
        <v>18</v>
      </c>
      <c r="C98" s="12" t="s">
        <v>189</v>
      </c>
      <c r="D98" s="10" t="s">
        <v>190</v>
      </c>
      <c r="E98" s="10"/>
      <c r="F98" s="13" t="b">
        <v>0</v>
      </c>
      <c r="G98" s="13" t="b">
        <v>0</v>
      </c>
      <c r="H98" s="13" t="b">
        <v>0</v>
      </c>
      <c r="I98" s="14" t="str">
        <f>IF(COUNTIF(F98:H98,TRUE)=0,"offen",IF(COUNTIF(F98:H98,TRUE)&gt;1,"mehrfach!",IF(G98=TRUE,"n. i. O.","erledigt")))</f>
        <v>offen</v>
      </c>
      <c r="J98" s="10"/>
    </row>
    <row r="99" spans="1:10" ht="27.95" customHeight="1">
      <c r="A99" s="12">
        <v>72</v>
      </c>
      <c r="B99" s="9" t="s">
        <v>18</v>
      </c>
      <c r="C99" s="12" t="s">
        <v>189</v>
      </c>
      <c r="D99" s="10" t="s">
        <v>191</v>
      </c>
      <c r="E99" s="10"/>
      <c r="F99" s="13" t="b">
        <v>0</v>
      </c>
      <c r="G99" s="13" t="b">
        <v>0</v>
      </c>
      <c r="H99" s="13" t="b">
        <v>0</v>
      </c>
      <c r="I99" s="14" t="str">
        <f>IF(COUNTIF(F99:H99,TRUE)=0,"offen",IF(COUNTIF(F99:H99,TRUE)&gt;1,"mehrfach!",IF(G99=TRUE,"n. i. O.","erledigt")))</f>
        <v>offen</v>
      </c>
      <c r="J99" s="10"/>
    </row>
    <row r="100" spans="1:10" ht="27.95" customHeight="1">
      <c r="A100" s="12">
        <v>73</v>
      </c>
      <c r="B100" s="9" t="s">
        <v>18</v>
      </c>
      <c r="C100" s="12" t="s">
        <v>189</v>
      </c>
      <c r="D100" s="10" t="s">
        <v>192</v>
      </c>
      <c r="E100" s="10"/>
      <c r="F100" s="13" t="b">
        <v>0</v>
      </c>
      <c r="G100" s="13" t="b">
        <v>0</v>
      </c>
      <c r="H100" s="13" t="b">
        <v>0</v>
      </c>
      <c r="I100" s="14" t="str">
        <f>IF(COUNTIF(F100:H100,TRUE)=0,"offen",IF(COUNTIF(F100:H100,TRUE)&gt;1,"mehrfach!",IF(G100=TRUE,"n. i. O.","erledigt")))</f>
        <v>offen</v>
      </c>
      <c r="J100" s="10"/>
    </row>
    <row r="101" spans="1:10" ht="20.100000000000001" customHeight="1">
      <c r="A101" s="27" t="s">
        <v>193</v>
      </c>
      <c r="B101" s="27"/>
      <c r="C101" s="27"/>
      <c r="D101" s="27"/>
      <c r="E101" s="27"/>
      <c r="F101" s="27"/>
      <c r="G101" s="27"/>
      <c r="H101" s="27"/>
      <c r="I101" s="27"/>
      <c r="J101" s="27"/>
    </row>
    <row r="102" spans="1:10">
      <c r="A102" s="28" t="s">
        <v>194</v>
      </c>
      <c r="B102" s="28"/>
      <c r="C102" s="28"/>
      <c r="D102" s="28"/>
      <c r="E102" s="28"/>
      <c r="F102" s="28"/>
      <c r="G102" s="28"/>
      <c r="H102" s="28"/>
      <c r="I102" s="28"/>
      <c r="J102" s="28"/>
    </row>
    <row r="103" spans="1:10" ht="27.95" customHeight="1">
      <c r="A103" s="15">
        <v>74</v>
      </c>
      <c r="B103" s="7" t="s">
        <v>16</v>
      </c>
      <c r="C103" s="15" t="s">
        <v>195</v>
      </c>
      <c r="D103" s="8" t="s">
        <v>196</v>
      </c>
      <c r="E103" s="18" t="s">
        <v>197</v>
      </c>
      <c r="F103" s="16" t="b">
        <v>0</v>
      </c>
      <c r="G103" s="16" t="b">
        <v>0</v>
      </c>
      <c r="H103" s="16" t="b">
        <v>0</v>
      </c>
      <c r="I103" s="17" t="str">
        <f>IF(COUNTIF(F103:H103,TRUE)=0,"offen",IF(COUNTIF(F103:H103,TRUE)&gt;1,"mehrfach!",IF(G103=TRUE,"n. i. O.","erledigt")))</f>
        <v>offen</v>
      </c>
      <c r="J103" s="8"/>
    </row>
    <row r="104" spans="1:10" ht="15.6" customHeight="1">
      <c r="A104" s="15">
        <v>75</v>
      </c>
      <c r="B104" s="7" t="s">
        <v>16</v>
      </c>
      <c r="C104" s="15" t="s">
        <v>198</v>
      </c>
      <c r="D104" s="8" t="s">
        <v>71</v>
      </c>
      <c r="E104" s="18" t="s">
        <v>199</v>
      </c>
      <c r="F104" s="16" t="b">
        <v>0</v>
      </c>
      <c r="G104" s="16" t="b">
        <v>0</v>
      </c>
      <c r="H104" s="16" t="b">
        <v>0</v>
      </c>
      <c r="I104" s="17" t="str">
        <f>IF(COUNTIF(F104:H104,TRUE)=0,"offen",IF(COUNTIF(F104:H104,TRUE)&gt;1,"mehrfach!",IF(G104=TRUE,"n. i. O.","erledigt")))</f>
        <v>offen</v>
      </c>
      <c r="J104" s="8"/>
    </row>
    <row r="105" spans="1:10">
      <c r="A105" s="29" t="s">
        <v>200</v>
      </c>
      <c r="B105" s="29"/>
      <c r="C105" s="29"/>
      <c r="D105" s="29"/>
      <c r="E105" s="29"/>
      <c r="F105" s="29"/>
      <c r="G105" s="29"/>
      <c r="H105" s="29"/>
      <c r="I105" s="29"/>
      <c r="J105" s="29"/>
    </row>
    <row r="106" spans="1:10">
      <c r="A106" s="29" t="s">
        <v>201</v>
      </c>
      <c r="B106" s="29"/>
      <c r="C106" s="29"/>
      <c r="D106" s="29"/>
      <c r="E106" s="29"/>
      <c r="F106" s="29"/>
      <c r="G106" s="29"/>
      <c r="H106" s="29"/>
      <c r="I106" s="29"/>
      <c r="J106" s="29"/>
    </row>
    <row r="107" spans="1:10" ht="15.6" customHeight="1">
      <c r="A107" s="12">
        <v>76</v>
      </c>
      <c r="B107" s="9" t="s">
        <v>18</v>
      </c>
      <c r="C107" s="12" t="s">
        <v>202</v>
      </c>
      <c r="D107" s="10" t="s">
        <v>203</v>
      </c>
      <c r="E107" s="10"/>
      <c r="F107" s="13" t="b">
        <v>0</v>
      </c>
      <c r="G107" s="13" t="b">
        <v>0</v>
      </c>
      <c r="H107" s="13" t="b">
        <v>0</v>
      </c>
      <c r="I107" s="14" t="str">
        <f>IF(COUNTIF(F107:H107,TRUE)=0,"offen",IF(COUNTIF(F107:H107,TRUE)&gt;1,"mehrfach!",IF(G107=TRUE,"n. i. O.","erledigt")))</f>
        <v>offen</v>
      </c>
      <c r="J107" s="10"/>
    </row>
    <row r="108" spans="1:10" ht="15.6" customHeight="1">
      <c r="A108" s="12">
        <v>77</v>
      </c>
      <c r="B108" s="9" t="s">
        <v>18</v>
      </c>
      <c r="C108" s="12" t="s">
        <v>202</v>
      </c>
      <c r="D108" s="10" t="s">
        <v>204</v>
      </c>
      <c r="E108" s="10"/>
      <c r="F108" s="13" t="b">
        <v>0</v>
      </c>
      <c r="G108" s="13" t="b">
        <v>0</v>
      </c>
      <c r="H108" s="13" t="b">
        <v>0</v>
      </c>
      <c r="I108" s="14" t="str">
        <f>IF(COUNTIF(F108:H108,TRUE)=0,"offen",IF(COUNTIF(F108:H108,TRUE)&gt;1,"mehrfach!",IF(G108=TRUE,"n. i. O.","erledigt")))</f>
        <v>offen</v>
      </c>
      <c r="J108" s="10"/>
    </row>
    <row r="109" spans="1:10">
      <c r="A109" s="29" t="s">
        <v>205</v>
      </c>
      <c r="B109" s="29"/>
      <c r="C109" s="29"/>
      <c r="D109" s="29"/>
      <c r="E109" s="29"/>
      <c r="F109" s="29"/>
      <c r="G109" s="29"/>
      <c r="H109" s="29"/>
      <c r="I109" s="29"/>
      <c r="J109" s="29"/>
    </row>
    <row r="110" spans="1:10" ht="27.95" customHeight="1">
      <c r="A110" s="12">
        <v>78</v>
      </c>
      <c r="B110" s="9" t="s">
        <v>18</v>
      </c>
      <c r="C110" s="12" t="s">
        <v>206</v>
      </c>
      <c r="D110" s="10" t="s">
        <v>207</v>
      </c>
      <c r="E110" s="10"/>
      <c r="F110" s="13" t="b">
        <v>0</v>
      </c>
      <c r="G110" s="13" t="b">
        <v>0</v>
      </c>
      <c r="H110" s="13" t="b">
        <v>0</v>
      </c>
      <c r="I110" s="14" t="str">
        <f>IF(COUNTIF(F110:H110,TRUE)=0,"offen",IF(COUNTIF(F110:H110,TRUE)&gt;1,"mehrfach!",IF(G110=TRUE,"n. i. O.","erledigt")))</f>
        <v>offen</v>
      </c>
      <c r="J110" s="10"/>
    </row>
    <row r="111" spans="1:10" ht="15.6" customHeight="1">
      <c r="A111" s="12">
        <v>79</v>
      </c>
      <c r="B111" s="9" t="s">
        <v>18</v>
      </c>
      <c r="C111" s="12" t="s">
        <v>206</v>
      </c>
      <c r="D111" s="10" t="s">
        <v>208</v>
      </c>
      <c r="E111" s="10"/>
      <c r="F111" s="13" t="b">
        <v>0</v>
      </c>
      <c r="G111" s="13" t="b">
        <v>0</v>
      </c>
      <c r="H111" s="13" t="b">
        <v>0</v>
      </c>
      <c r="I111" s="14" t="str">
        <f>IF(COUNTIF(F111:H111,TRUE)=0,"offen",IF(COUNTIF(F111:H111,TRUE)&gt;1,"mehrfach!",IF(G111=TRUE,"n. i. O.","erledigt")))</f>
        <v>offen</v>
      </c>
      <c r="J111" s="10"/>
    </row>
    <row r="112" spans="1:10">
      <c r="A112" s="29" t="s">
        <v>209</v>
      </c>
      <c r="B112" s="29"/>
      <c r="C112" s="29"/>
      <c r="D112" s="29"/>
      <c r="E112" s="29"/>
      <c r="F112" s="29"/>
      <c r="G112" s="29"/>
      <c r="H112" s="29"/>
      <c r="I112" s="29"/>
      <c r="J112" s="29"/>
    </row>
    <row r="113" spans="1:10" ht="27.95" customHeight="1">
      <c r="A113" s="12">
        <v>80</v>
      </c>
      <c r="B113" s="9" t="s">
        <v>18</v>
      </c>
      <c r="C113" s="12" t="s">
        <v>210</v>
      </c>
      <c r="D113" s="10" t="s">
        <v>211</v>
      </c>
      <c r="E113" s="10"/>
      <c r="F113" s="13" t="b">
        <v>0</v>
      </c>
      <c r="G113" s="13" t="b">
        <v>0</v>
      </c>
      <c r="H113" s="13" t="b">
        <v>0</v>
      </c>
      <c r="I113" s="14" t="str">
        <f>IF(COUNTIF(F113:H113,TRUE)=0,"offen",IF(COUNTIF(F113:H113,TRUE)&gt;1,"mehrfach!",IF(G113=TRUE,"n. i. O.","erledigt")))</f>
        <v>offen</v>
      </c>
      <c r="J113" s="10"/>
    </row>
    <row r="114" spans="1:10" ht="27.95" customHeight="1">
      <c r="A114" s="12">
        <v>81</v>
      </c>
      <c r="B114" s="9" t="s">
        <v>18</v>
      </c>
      <c r="C114" s="12" t="s">
        <v>210</v>
      </c>
      <c r="D114" s="10" t="s">
        <v>212</v>
      </c>
      <c r="E114" s="10"/>
      <c r="F114" s="13" t="b">
        <v>0</v>
      </c>
      <c r="G114" s="13" t="b">
        <v>0</v>
      </c>
      <c r="H114" s="13" t="b">
        <v>0</v>
      </c>
      <c r="I114" s="14" t="str">
        <f>IF(COUNTIF(F114:H114,TRUE)=0,"offen",IF(COUNTIF(F114:H114,TRUE)&gt;1,"mehrfach!",IF(G114=TRUE,"n. i. O.","erledigt")))</f>
        <v>offen</v>
      </c>
      <c r="J114" s="10"/>
    </row>
    <row r="115" spans="1:10">
      <c r="A115" s="29" t="s">
        <v>213</v>
      </c>
      <c r="B115" s="29"/>
      <c r="C115" s="29"/>
      <c r="D115" s="29"/>
      <c r="E115" s="29"/>
      <c r="F115" s="29"/>
      <c r="G115" s="29"/>
      <c r="H115" s="29"/>
      <c r="I115" s="29"/>
      <c r="J115" s="29"/>
    </row>
    <row r="116" spans="1:10" ht="27.95" customHeight="1">
      <c r="A116" s="12">
        <v>82</v>
      </c>
      <c r="B116" s="9" t="s">
        <v>18</v>
      </c>
      <c r="C116" s="12" t="s">
        <v>214</v>
      </c>
      <c r="D116" s="10" t="s">
        <v>215</v>
      </c>
      <c r="E116" s="19" t="s">
        <v>216</v>
      </c>
      <c r="F116" s="13" t="b">
        <v>0</v>
      </c>
      <c r="G116" s="13" t="b">
        <v>0</v>
      </c>
      <c r="H116" s="13" t="b">
        <v>0</v>
      </c>
      <c r="I116" s="14" t="str">
        <f>IF(COUNTIF(F116:H116,TRUE)=0,"offen",IF(COUNTIF(F116:H116,TRUE)&gt;1,"mehrfach!",IF(G116=TRUE,"n. i. O.","erledigt")))</f>
        <v>offen</v>
      </c>
      <c r="J116" s="10"/>
    </row>
    <row r="117" spans="1:10" ht="27.95" customHeight="1">
      <c r="A117" s="12">
        <v>83</v>
      </c>
      <c r="B117" s="9" t="s">
        <v>18</v>
      </c>
      <c r="C117" s="12" t="s">
        <v>214</v>
      </c>
      <c r="D117" s="10" t="s">
        <v>217</v>
      </c>
      <c r="E117" s="10"/>
      <c r="F117" s="13" t="b">
        <v>0</v>
      </c>
      <c r="G117" s="13" t="b">
        <v>0</v>
      </c>
      <c r="H117" s="13" t="b">
        <v>0</v>
      </c>
      <c r="I117" s="14" t="str">
        <f>IF(COUNTIF(F117:H117,TRUE)=0,"offen",IF(COUNTIF(F117:H117,TRUE)&gt;1,"mehrfach!",IF(G117=TRUE,"n. i. O.","erledigt")))</f>
        <v>offen</v>
      </c>
      <c r="J117" s="10"/>
    </row>
    <row r="118" spans="1:10" ht="15.6" customHeight="1">
      <c r="A118" s="12">
        <v>84</v>
      </c>
      <c r="B118" s="9" t="s">
        <v>18</v>
      </c>
      <c r="C118" s="12" t="s">
        <v>214</v>
      </c>
      <c r="D118" s="10" t="s">
        <v>218</v>
      </c>
      <c r="E118" s="10"/>
      <c r="F118" s="13" t="b">
        <v>0</v>
      </c>
      <c r="G118" s="13" t="b">
        <v>0</v>
      </c>
      <c r="H118" s="13" t="b">
        <v>0</v>
      </c>
      <c r="I118" s="14" t="str">
        <f>IF(COUNTIF(F118:H118,TRUE)=0,"offen",IF(COUNTIF(F118:H118,TRUE)&gt;1,"mehrfach!",IF(G118=TRUE,"n. i. O.","erledigt")))</f>
        <v>offen</v>
      </c>
      <c r="J118" s="10"/>
    </row>
    <row r="119" spans="1:10">
      <c r="A119" s="29" t="s">
        <v>219</v>
      </c>
      <c r="B119" s="29"/>
      <c r="C119" s="29"/>
      <c r="D119" s="29"/>
      <c r="E119" s="29"/>
      <c r="F119" s="29"/>
      <c r="G119" s="29"/>
      <c r="H119" s="29"/>
      <c r="I119" s="29"/>
      <c r="J119" s="29"/>
    </row>
    <row r="120" spans="1:10" ht="27.95" customHeight="1">
      <c r="A120" s="12">
        <v>85</v>
      </c>
      <c r="B120" s="9" t="s">
        <v>18</v>
      </c>
      <c r="C120" s="12" t="s">
        <v>220</v>
      </c>
      <c r="D120" s="10" t="s">
        <v>221</v>
      </c>
      <c r="E120" s="10"/>
      <c r="F120" s="13" t="b">
        <v>0</v>
      </c>
      <c r="G120" s="13" t="b">
        <v>0</v>
      </c>
      <c r="H120" s="13" t="b">
        <v>0</v>
      </c>
      <c r="I120" s="14" t="str">
        <f>IF(COUNTIF(F120:H120,TRUE)=0,"offen",IF(COUNTIF(F120:H120,TRUE)&gt;1,"mehrfach!",IF(G120=TRUE,"n. i. O.","erledigt")))</f>
        <v>offen</v>
      </c>
      <c r="J120" s="10"/>
    </row>
    <row r="121" spans="1:10">
      <c r="A121" s="29" t="s">
        <v>222</v>
      </c>
      <c r="B121" s="29"/>
      <c r="C121" s="29"/>
      <c r="D121" s="29"/>
      <c r="E121" s="29"/>
      <c r="F121" s="29"/>
      <c r="G121" s="29"/>
      <c r="H121" s="29"/>
      <c r="I121" s="29"/>
      <c r="J121" s="29"/>
    </row>
    <row r="122" spans="1:10" ht="27.95" customHeight="1">
      <c r="A122" s="12">
        <v>86</v>
      </c>
      <c r="B122" s="9" t="s">
        <v>18</v>
      </c>
      <c r="C122" s="12" t="s">
        <v>223</v>
      </c>
      <c r="D122" s="10" t="s">
        <v>224</v>
      </c>
      <c r="E122" s="19" t="s">
        <v>225</v>
      </c>
      <c r="F122" s="13" t="b">
        <v>0</v>
      </c>
      <c r="G122" s="13" t="b">
        <v>0</v>
      </c>
      <c r="H122" s="13" t="b">
        <v>0</v>
      </c>
      <c r="I122" s="14" t="str">
        <f>IF(COUNTIF(F122:H122,TRUE)=0,"offen",IF(COUNTIF(F122:H122,TRUE)&gt;1,"mehrfach!",IF(G122=TRUE,"n. i. O.","erledigt")))</f>
        <v>offen</v>
      </c>
      <c r="J122" s="10"/>
    </row>
    <row r="123" spans="1:10">
      <c r="A123" s="29" t="s">
        <v>226</v>
      </c>
      <c r="B123" s="29"/>
      <c r="C123" s="29"/>
      <c r="D123" s="29"/>
      <c r="E123" s="29"/>
      <c r="F123" s="29"/>
      <c r="G123" s="29"/>
      <c r="H123" s="29"/>
      <c r="I123" s="29"/>
      <c r="J123" s="29"/>
    </row>
    <row r="124" spans="1:10" ht="27.95" customHeight="1">
      <c r="A124" s="12">
        <v>87</v>
      </c>
      <c r="B124" s="9" t="s">
        <v>18</v>
      </c>
      <c r="C124" s="12" t="s">
        <v>227</v>
      </c>
      <c r="D124" s="10" t="s">
        <v>228</v>
      </c>
      <c r="E124" s="10"/>
      <c r="F124" s="13" t="b">
        <v>0</v>
      </c>
      <c r="G124" s="13" t="b">
        <v>0</v>
      </c>
      <c r="H124" s="13" t="b">
        <v>0</v>
      </c>
      <c r="I124" s="14" t="str">
        <f>IF(COUNTIF(F124:H124,TRUE)=0,"offen",IF(COUNTIF(F124:H124,TRUE)&gt;1,"mehrfach!",IF(G124=TRUE,"n. i. O.","erledigt")))</f>
        <v>offen</v>
      </c>
      <c r="J124" s="10"/>
    </row>
    <row r="125" spans="1:10" ht="27.95" customHeight="1">
      <c r="A125" s="12">
        <v>88</v>
      </c>
      <c r="B125" s="9" t="s">
        <v>18</v>
      </c>
      <c r="C125" s="12" t="s">
        <v>227</v>
      </c>
      <c r="D125" s="10" t="s">
        <v>229</v>
      </c>
      <c r="E125" s="10"/>
      <c r="F125" s="13" t="b">
        <v>0</v>
      </c>
      <c r="G125" s="13" t="b">
        <v>0</v>
      </c>
      <c r="H125" s="13" t="b">
        <v>0</v>
      </c>
      <c r="I125" s="14" t="str">
        <f>IF(COUNTIF(F125:H125,TRUE)=0,"offen",IF(COUNTIF(F125:H125,TRUE)&gt;1,"mehrfach!",IF(G125=TRUE,"n. i. O.","erledigt")))</f>
        <v>offen</v>
      </c>
      <c r="J125" s="10"/>
    </row>
    <row r="126" spans="1:10">
      <c r="A126" s="29" t="s">
        <v>230</v>
      </c>
      <c r="B126" s="29"/>
      <c r="C126" s="29"/>
      <c r="D126" s="29"/>
      <c r="E126" s="29"/>
      <c r="F126" s="29"/>
      <c r="G126" s="29"/>
      <c r="H126" s="29"/>
      <c r="I126" s="29"/>
      <c r="J126" s="29"/>
    </row>
    <row r="127" spans="1:10" ht="27.95" customHeight="1">
      <c r="A127" s="12">
        <v>89</v>
      </c>
      <c r="B127" s="9" t="s">
        <v>18</v>
      </c>
      <c r="C127" s="12" t="s">
        <v>231</v>
      </c>
      <c r="D127" s="10" t="s">
        <v>232</v>
      </c>
      <c r="E127" s="10"/>
      <c r="F127" s="13" t="b">
        <v>0</v>
      </c>
      <c r="G127" s="13" t="b">
        <v>0</v>
      </c>
      <c r="H127" s="13" t="b">
        <v>0</v>
      </c>
      <c r="I127" s="14" t="str">
        <f>IF(COUNTIF(F127:H127,TRUE)=0,"offen",IF(COUNTIF(F127:H127,TRUE)&gt;1,"mehrfach!",IF(G127=TRUE,"n. i. O.","erledigt")))</f>
        <v>offen</v>
      </c>
      <c r="J127" s="10"/>
    </row>
    <row r="128" spans="1:10">
      <c r="A128" s="29" t="s">
        <v>233</v>
      </c>
      <c r="B128" s="29"/>
      <c r="C128" s="29"/>
      <c r="D128" s="29"/>
      <c r="E128" s="29"/>
      <c r="F128" s="29"/>
      <c r="G128" s="29"/>
      <c r="H128" s="29"/>
      <c r="I128" s="29"/>
      <c r="J128" s="29"/>
    </row>
    <row r="129" spans="1:10" ht="27.95" customHeight="1">
      <c r="A129" s="12">
        <v>90</v>
      </c>
      <c r="B129" s="9" t="s">
        <v>18</v>
      </c>
      <c r="C129" s="12" t="s">
        <v>234</v>
      </c>
      <c r="D129" s="10" t="s">
        <v>235</v>
      </c>
      <c r="E129" s="10"/>
      <c r="F129" s="13" t="b">
        <v>0</v>
      </c>
      <c r="G129" s="13" t="b">
        <v>0</v>
      </c>
      <c r="H129" s="13" t="b">
        <v>0</v>
      </c>
      <c r="I129" s="14" t="str">
        <f>IF(COUNTIF(F129:H129,TRUE)=0,"offen",IF(COUNTIF(F129:H129,TRUE)&gt;1,"mehrfach!",IF(G129=TRUE,"n. i. O.","erledigt")))</f>
        <v>offen</v>
      </c>
      <c r="J129" s="10"/>
    </row>
    <row r="130" spans="1:10">
      <c r="A130" s="29" t="s">
        <v>236</v>
      </c>
      <c r="B130" s="29"/>
      <c r="C130" s="29"/>
      <c r="D130" s="29"/>
      <c r="E130" s="29"/>
      <c r="F130" s="29"/>
      <c r="G130" s="29"/>
      <c r="H130" s="29"/>
      <c r="I130" s="29"/>
      <c r="J130" s="29"/>
    </row>
    <row r="131" spans="1:10" ht="27.95" customHeight="1">
      <c r="A131" s="12">
        <v>91</v>
      </c>
      <c r="B131" s="9" t="s">
        <v>18</v>
      </c>
      <c r="C131" s="12" t="s">
        <v>237</v>
      </c>
      <c r="D131" s="10" t="s">
        <v>238</v>
      </c>
      <c r="E131" s="19" t="s">
        <v>239</v>
      </c>
      <c r="F131" s="13" t="b">
        <v>0</v>
      </c>
      <c r="G131" s="13" t="b">
        <v>0</v>
      </c>
      <c r="H131" s="13" t="b">
        <v>0</v>
      </c>
      <c r="I131" s="14" t="str">
        <f>IF(COUNTIF(F131:H131,TRUE)=0,"offen",IF(COUNTIF(F131:H131,TRUE)&gt;1,"mehrfach!",IF(G131=TRUE,"n. i. O.","erledigt")))</f>
        <v>offen</v>
      </c>
      <c r="J131" s="10"/>
    </row>
    <row r="132" spans="1:10" ht="15.6" customHeight="1">
      <c r="A132" s="12">
        <v>92</v>
      </c>
      <c r="B132" s="9" t="s">
        <v>18</v>
      </c>
      <c r="C132" s="12" t="s">
        <v>237</v>
      </c>
      <c r="D132" s="10" t="s">
        <v>240</v>
      </c>
      <c r="E132" s="10"/>
      <c r="F132" s="13" t="b">
        <v>0</v>
      </c>
      <c r="G132" s="13" t="b">
        <v>0</v>
      </c>
      <c r="H132" s="13" t="b">
        <v>0</v>
      </c>
      <c r="I132" s="14" t="str">
        <f>IF(COUNTIF(F132:H132,TRUE)=0,"offen",IF(COUNTIF(F132:H132,TRUE)&gt;1,"mehrfach!",IF(G132=TRUE,"n. i. O.","erledigt")))</f>
        <v>offen</v>
      </c>
      <c r="J132" s="10"/>
    </row>
    <row r="133" spans="1:10">
      <c r="A133" s="29" t="s">
        <v>241</v>
      </c>
      <c r="B133" s="29"/>
      <c r="C133" s="29"/>
      <c r="D133" s="29"/>
      <c r="E133" s="29"/>
      <c r="F133" s="29"/>
      <c r="G133" s="29"/>
      <c r="H133" s="29"/>
      <c r="I133" s="29"/>
      <c r="J133" s="29"/>
    </row>
    <row r="134" spans="1:10" ht="27.95" customHeight="1">
      <c r="A134" s="12">
        <v>93</v>
      </c>
      <c r="B134" s="9" t="s">
        <v>18</v>
      </c>
      <c r="C134" s="12" t="s">
        <v>242</v>
      </c>
      <c r="D134" s="10" t="s">
        <v>243</v>
      </c>
      <c r="E134" s="19" t="s">
        <v>244</v>
      </c>
      <c r="F134" s="13" t="b">
        <v>0</v>
      </c>
      <c r="G134" s="13" t="b">
        <v>0</v>
      </c>
      <c r="H134" s="13" t="b">
        <v>0</v>
      </c>
      <c r="I134" s="14" t="str">
        <f>IF(COUNTIF(F134:H134,TRUE)=0,"offen",IF(COUNTIF(F134:H134,TRUE)&gt;1,"mehrfach!",IF(G134=TRUE,"n. i. O.","erledigt")))</f>
        <v>offen</v>
      </c>
      <c r="J134" s="10"/>
    </row>
    <row r="135" spans="1:10" ht="27.95" customHeight="1">
      <c r="A135" s="12">
        <v>94</v>
      </c>
      <c r="B135" s="9" t="s">
        <v>18</v>
      </c>
      <c r="C135" s="12" t="s">
        <v>242</v>
      </c>
      <c r="D135" s="10" t="s">
        <v>245</v>
      </c>
      <c r="E135" s="10"/>
      <c r="F135" s="13" t="b">
        <v>0</v>
      </c>
      <c r="G135" s="13" t="b">
        <v>0</v>
      </c>
      <c r="H135" s="13" t="b">
        <v>0</v>
      </c>
      <c r="I135" s="14" t="str">
        <f>IF(COUNTIF(F135:H135,TRUE)=0,"offen",IF(COUNTIF(F135:H135,TRUE)&gt;1,"mehrfach!",IF(G135=TRUE,"n. i. O.","erledigt")))</f>
        <v>offen</v>
      </c>
      <c r="J135" s="10"/>
    </row>
    <row r="136" spans="1:10" ht="40.5" customHeight="1">
      <c r="A136" s="12">
        <v>95</v>
      </c>
      <c r="B136" s="9" t="s">
        <v>18</v>
      </c>
      <c r="C136" s="12" t="s">
        <v>246</v>
      </c>
      <c r="D136" s="10" t="s">
        <v>247</v>
      </c>
      <c r="E136" s="10"/>
      <c r="F136" s="13" t="b">
        <v>0</v>
      </c>
      <c r="G136" s="13" t="b">
        <v>0</v>
      </c>
      <c r="H136" s="13" t="b">
        <v>0</v>
      </c>
      <c r="I136" s="14" t="str">
        <f>IF(COUNTIF(F136:H136,TRUE)=0,"offen",IF(COUNTIF(F136:H136,TRUE)&gt;1,"mehrfach!",IF(G136=TRUE,"n. i. O.","erledigt")))</f>
        <v>offen</v>
      </c>
      <c r="J136" s="10"/>
    </row>
    <row r="137" spans="1:10" ht="27.95" customHeight="1">
      <c r="A137" s="12">
        <v>96</v>
      </c>
      <c r="B137" s="9" t="s">
        <v>18</v>
      </c>
      <c r="C137" s="12" t="s">
        <v>248</v>
      </c>
      <c r="D137" s="10" t="s">
        <v>249</v>
      </c>
      <c r="E137" s="10"/>
      <c r="F137" s="13" t="b">
        <v>0</v>
      </c>
      <c r="G137" s="13" t="b">
        <v>0</v>
      </c>
      <c r="H137" s="13" t="b">
        <v>0</v>
      </c>
      <c r="I137" s="14" t="str">
        <f>IF(COUNTIF(F137:H137,TRUE)=0,"offen",IF(COUNTIF(F137:H137,TRUE)&gt;1,"mehrfach!",IF(G137=TRUE,"n. i. O.","erledigt")))</f>
        <v>offen</v>
      </c>
      <c r="J137" s="10"/>
    </row>
    <row r="138" spans="1:10" ht="20.100000000000001" customHeight="1">
      <c r="A138" s="27" t="s">
        <v>250</v>
      </c>
      <c r="B138" s="27"/>
      <c r="C138" s="27"/>
      <c r="D138" s="27"/>
      <c r="E138" s="27"/>
      <c r="F138" s="27"/>
      <c r="G138" s="27"/>
      <c r="H138" s="27"/>
      <c r="I138" s="27"/>
      <c r="J138" s="27"/>
    </row>
    <row r="139" spans="1:10">
      <c r="A139" s="28" t="s">
        <v>251</v>
      </c>
      <c r="B139" s="28"/>
      <c r="C139" s="28"/>
      <c r="D139" s="28"/>
      <c r="E139" s="28"/>
      <c r="F139" s="28"/>
      <c r="G139" s="28"/>
      <c r="H139" s="28"/>
      <c r="I139" s="28"/>
      <c r="J139" s="28"/>
    </row>
    <row r="140" spans="1:10" ht="15.6" customHeight="1">
      <c r="A140" s="15">
        <v>97</v>
      </c>
      <c r="B140" s="7" t="s">
        <v>16</v>
      </c>
      <c r="C140" s="15" t="s">
        <v>252</v>
      </c>
      <c r="D140" s="8" t="s">
        <v>253</v>
      </c>
      <c r="E140" s="8"/>
      <c r="F140" s="16" t="b">
        <v>0</v>
      </c>
      <c r="G140" s="16" t="b">
        <v>0</v>
      </c>
      <c r="H140" s="16" t="b">
        <v>0</v>
      </c>
      <c r="I140" s="17" t="str">
        <f>IF(COUNTIF(F140:H140,TRUE)=0,"offen",IF(COUNTIF(F140:H140,TRUE)&gt;1,"mehrfach!",IF(G140=TRUE,"n. i. O.","erledigt")))</f>
        <v>offen</v>
      </c>
      <c r="J140" s="8"/>
    </row>
    <row r="141" spans="1:10" ht="15.6" customHeight="1">
      <c r="A141" s="15">
        <v>98</v>
      </c>
      <c r="B141" s="7" t="s">
        <v>16</v>
      </c>
      <c r="C141" s="15" t="s">
        <v>254</v>
      </c>
      <c r="D141" s="8" t="s">
        <v>255</v>
      </c>
      <c r="E141" s="18" t="s">
        <v>256</v>
      </c>
      <c r="F141" s="16" t="b">
        <v>0</v>
      </c>
      <c r="G141" s="16" t="b">
        <v>0</v>
      </c>
      <c r="H141" s="16" t="b">
        <v>0</v>
      </c>
      <c r="I141" s="17" t="str">
        <f>IF(COUNTIF(F141:H141,TRUE)=0,"offen",IF(COUNTIF(F141:H141,TRUE)&gt;1,"mehrfach!",IF(G141=TRUE,"n. i. O.","erledigt")))</f>
        <v>offen</v>
      </c>
      <c r="J141" s="8"/>
    </row>
    <row r="142" spans="1:10" ht="15.6" customHeight="1">
      <c r="A142" s="15">
        <v>99</v>
      </c>
      <c r="B142" s="7" t="s">
        <v>16</v>
      </c>
      <c r="C142" s="15" t="s">
        <v>257</v>
      </c>
      <c r="D142" s="8" t="s">
        <v>258</v>
      </c>
      <c r="E142" s="8"/>
      <c r="F142" s="16" t="b">
        <v>0</v>
      </c>
      <c r="G142" s="16" t="b">
        <v>0</v>
      </c>
      <c r="H142" s="16" t="b">
        <v>0</v>
      </c>
      <c r="I142" s="17" t="str">
        <f>IF(COUNTIF(F142:H142,TRUE)=0,"offen",IF(COUNTIF(F142:H142,TRUE)&gt;1,"mehrfach!",IF(G142=TRUE,"n. i. O.","erledigt")))</f>
        <v>offen</v>
      </c>
      <c r="J142" s="8"/>
    </row>
    <row r="143" spans="1:10" ht="27.95" customHeight="1">
      <c r="A143" s="15">
        <v>100</v>
      </c>
      <c r="B143" s="7" t="s">
        <v>16</v>
      </c>
      <c r="C143" s="15" t="s">
        <v>259</v>
      </c>
      <c r="D143" s="8" t="s">
        <v>260</v>
      </c>
      <c r="E143" s="8"/>
      <c r="F143" s="16" t="b">
        <v>0</v>
      </c>
      <c r="G143" s="16" t="b">
        <v>0</v>
      </c>
      <c r="H143" s="16" t="b">
        <v>0</v>
      </c>
      <c r="I143" s="17" t="str">
        <f>IF(COUNTIF(F143:H143,TRUE)=0,"offen",IF(COUNTIF(F143:H143,TRUE)&gt;1,"mehrfach!",IF(G143=TRUE,"n. i. O.","erledigt")))</f>
        <v>offen</v>
      </c>
      <c r="J143" s="8"/>
    </row>
    <row r="144" spans="1:10" ht="15.6" customHeight="1">
      <c r="A144" s="15">
        <v>101</v>
      </c>
      <c r="B144" s="7" t="s">
        <v>16</v>
      </c>
      <c r="C144" s="15" t="s">
        <v>261</v>
      </c>
      <c r="D144" s="8" t="s">
        <v>262</v>
      </c>
      <c r="E144" s="8"/>
      <c r="F144" s="16" t="b">
        <v>0</v>
      </c>
      <c r="G144" s="16" t="b">
        <v>0</v>
      </c>
      <c r="H144" s="16" t="b">
        <v>0</v>
      </c>
      <c r="I144" s="17" t="str">
        <f>IF(COUNTIF(F144:H144,TRUE)=0,"offen",IF(COUNTIF(F144:H144,TRUE)&gt;1,"mehrfach!",IF(G144=TRUE,"n. i. O.","erledigt")))</f>
        <v>offen</v>
      </c>
      <c r="J144" s="8"/>
    </row>
    <row r="145" spans="1:10" ht="27.95" customHeight="1">
      <c r="A145" s="15">
        <v>102</v>
      </c>
      <c r="B145" s="7" t="s">
        <v>16</v>
      </c>
      <c r="C145" s="15" t="s">
        <v>263</v>
      </c>
      <c r="D145" s="8" t="s">
        <v>264</v>
      </c>
      <c r="E145" s="18" t="s">
        <v>265</v>
      </c>
      <c r="F145" s="16" t="b">
        <v>0</v>
      </c>
      <c r="G145" s="16" t="b">
        <v>0</v>
      </c>
      <c r="H145" s="16" t="b">
        <v>0</v>
      </c>
      <c r="I145" s="17" t="str">
        <f>IF(COUNTIF(F145:H145,TRUE)=0,"offen",IF(COUNTIF(F145:H145,TRUE)&gt;1,"mehrfach!",IF(G145=TRUE,"n. i. O.","erledigt")))</f>
        <v>offen</v>
      </c>
      <c r="J145" s="8"/>
    </row>
    <row r="146" spans="1:10" ht="15.6" customHeight="1">
      <c r="A146" s="15">
        <v>103</v>
      </c>
      <c r="B146" s="7" t="s">
        <v>16</v>
      </c>
      <c r="C146" s="15" t="s">
        <v>266</v>
      </c>
      <c r="D146" s="8" t="s">
        <v>267</v>
      </c>
      <c r="E146" s="8"/>
      <c r="F146" s="16" t="b">
        <v>0</v>
      </c>
      <c r="G146" s="16" t="b">
        <v>0</v>
      </c>
      <c r="H146" s="16" t="b">
        <v>0</v>
      </c>
      <c r="I146" s="17" t="str">
        <f>IF(COUNTIF(F146:H146,TRUE)=0,"offen",IF(COUNTIF(F146:H146,TRUE)&gt;1,"mehrfach!",IF(G146=TRUE,"n. i. O.","erledigt")))</f>
        <v>offen</v>
      </c>
      <c r="J146" s="8"/>
    </row>
    <row r="147" spans="1:10" ht="27.95" customHeight="1">
      <c r="A147" s="15">
        <v>104</v>
      </c>
      <c r="B147" s="7" t="s">
        <v>16</v>
      </c>
      <c r="C147" s="15" t="s">
        <v>268</v>
      </c>
      <c r="D147" s="8" t="s">
        <v>269</v>
      </c>
      <c r="E147" s="18" t="s">
        <v>270</v>
      </c>
      <c r="F147" s="16" t="b">
        <v>0</v>
      </c>
      <c r="G147" s="16" t="b">
        <v>0</v>
      </c>
      <c r="H147" s="16" t="b">
        <v>0</v>
      </c>
      <c r="I147" s="17" t="str">
        <f>IF(COUNTIF(F147:H147,TRUE)=0,"offen",IF(COUNTIF(F147:H147,TRUE)&gt;1,"mehrfach!",IF(G147=TRUE,"n. i. O.","erledigt")))</f>
        <v>offen</v>
      </c>
      <c r="J147" s="8"/>
    </row>
    <row r="148" spans="1:10" ht="27.95" customHeight="1">
      <c r="A148" s="15">
        <v>105</v>
      </c>
      <c r="B148" s="7" t="s">
        <v>16</v>
      </c>
      <c r="C148" s="15" t="s">
        <v>271</v>
      </c>
      <c r="D148" s="8" t="s">
        <v>272</v>
      </c>
      <c r="E148" s="18" t="s">
        <v>273</v>
      </c>
      <c r="F148" s="16" t="b">
        <v>0</v>
      </c>
      <c r="G148" s="16" t="b">
        <v>0</v>
      </c>
      <c r="H148" s="16" t="b">
        <v>0</v>
      </c>
      <c r="I148" s="17" t="str">
        <f>IF(COUNTIF(F148:H148,TRUE)=0,"offen",IF(COUNTIF(F148:H148,TRUE)&gt;1,"mehrfach!",IF(G148=TRUE,"n. i. O.","erledigt")))</f>
        <v>offen</v>
      </c>
      <c r="J148" s="8"/>
    </row>
    <row r="149" spans="1:10" ht="27.95" customHeight="1">
      <c r="A149" s="15">
        <v>106</v>
      </c>
      <c r="B149" s="7" t="s">
        <v>16</v>
      </c>
      <c r="C149" s="15" t="s">
        <v>274</v>
      </c>
      <c r="D149" s="8" t="s">
        <v>275</v>
      </c>
      <c r="E149" s="18" t="s">
        <v>276</v>
      </c>
      <c r="F149" s="16" t="b">
        <v>0</v>
      </c>
      <c r="G149" s="16" t="b">
        <v>0</v>
      </c>
      <c r="H149" s="16" t="b">
        <v>0</v>
      </c>
      <c r="I149" s="17" t="str">
        <f>IF(COUNTIF(F149:H149,TRUE)=0,"offen",IF(COUNTIF(F149:H149,TRUE)&gt;1,"mehrfach!",IF(G149=TRUE,"n. i. O.","erledigt")))</f>
        <v>offen</v>
      </c>
      <c r="J149" s="8"/>
    </row>
    <row r="150" spans="1:10" ht="27.95" customHeight="1">
      <c r="A150" s="15">
        <v>107</v>
      </c>
      <c r="B150" s="7" t="s">
        <v>16</v>
      </c>
      <c r="C150" s="15" t="s">
        <v>277</v>
      </c>
      <c r="D150" s="8" t="s">
        <v>278</v>
      </c>
      <c r="E150" s="8"/>
      <c r="F150" s="16" t="b">
        <v>0</v>
      </c>
      <c r="G150" s="16" t="b">
        <v>0</v>
      </c>
      <c r="H150" s="16" t="b">
        <v>0</v>
      </c>
      <c r="I150" s="17" t="str">
        <f>IF(COUNTIF(F150:H150,TRUE)=0,"offen",IF(COUNTIF(F150:H150,TRUE)&gt;1,"mehrfach!",IF(G150=TRUE,"n. i. O.","erledigt")))</f>
        <v>offen</v>
      </c>
      <c r="J150" s="8"/>
    </row>
    <row r="151" spans="1:10" ht="15.6" customHeight="1">
      <c r="A151" s="15">
        <v>108</v>
      </c>
      <c r="B151" s="7" t="s">
        <v>16</v>
      </c>
      <c r="C151" s="15" t="s">
        <v>279</v>
      </c>
      <c r="D151" s="8" t="s">
        <v>280</v>
      </c>
      <c r="E151" s="8"/>
      <c r="F151" s="16" t="b">
        <v>0</v>
      </c>
      <c r="G151" s="16" t="b">
        <v>0</v>
      </c>
      <c r="H151" s="16" t="b">
        <v>0</v>
      </c>
      <c r="I151" s="17" t="str">
        <f>IF(COUNTIF(F151:H151,TRUE)=0,"offen",IF(COUNTIF(F151:H151,TRUE)&gt;1,"mehrfach!",IF(G151=TRUE,"n. i. O.","erledigt")))</f>
        <v>offen</v>
      </c>
      <c r="J151" s="8"/>
    </row>
    <row r="152" spans="1:10" ht="27.95" customHeight="1">
      <c r="A152" s="15">
        <v>109</v>
      </c>
      <c r="B152" s="7" t="s">
        <v>16</v>
      </c>
      <c r="C152" s="15" t="s">
        <v>281</v>
      </c>
      <c r="D152" s="8" t="s">
        <v>282</v>
      </c>
      <c r="E152" s="8"/>
      <c r="F152" s="16" t="b">
        <v>0</v>
      </c>
      <c r="G152" s="16" t="b">
        <v>0</v>
      </c>
      <c r="H152" s="16" t="b">
        <v>0</v>
      </c>
      <c r="I152" s="17" t="str">
        <f>IF(COUNTIF(F152:H152,TRUE)=0,"offen",IF(COUNTIF(F152:H152,TRUE)&gt;1,"mehrfach!",IF(G152=TRUE,"n. i. O.","erledigt")))</f>
        <v>offen</v>
      </c>
      <c r="J152" s="8"/>
    </row>
    <row r="153" spans="1:10" ht="15.6" customHeight="1">
      <c r="A153" s="15">
        <v>110</v>
      </c>
      <c r="B153" s="7" t="s">
        <v>16</v>
      </c>
      <c r="C153" s="15" t="s">
        <v>283</v>
      </c>
      <c r="D153" s="8" t="s">
        <v>284</v>
      </c>
      <c r="E153" s="8"/>
      <c r="F153" s="16" t="b">
        <v>0</v>
      </c>
      <c r="G153" s="16" t="b">
        <v>0</v>
      </c>
      <c r="H153" s="16" t="b">
        <v>0</v>
      </c>
      <c r="I153" s="17" t="str">
        <f>IF(COUNTIF(F153:H153,TRUE)=0,"offen",IF(COUNTIF(F153:H153,TRUE)&gt;1,"mehrfach!",IF(G153=TRUE,"n. i. O.","erledigt")))</f>
        <v>offen</v>
      </c>
      <c r="J153" s="8"/>
    </row>
    <row r="154" spans="1:10" ht="27.95" customHeight="1">
      <c r="A154" s="15">
        <v>111</v>
      </c>
      <c r="B154" s="7" t="s">
        <v>16</v>
      </c>
      <c r="C154" s="15" t="s">
        <v>285</v>
      </c>
      <c r="D154" s="8" t="s">
        <v>286</v>
      </c>
      <c r="E154" s="8"/>
      <c r="F154" s="16" t="b">
        <v>0</v>
      </c>
      <c r="G154" s="16" t="b">
        <v>0</v>
      </c>
      <c r="H154" s="16" t="b">
        <v>0</v>
      </c>
      <c r="I154" s="17" t="str">
        <f>IF(COUNTIF(F154:H154,TRUE)=0,"offen",IF(COUNTIF(F154:H154,TRUE)&gt;1,"mehrfach!",IF(G154=TRUE,"n. i. O.","erledigt")))</f>
        <v>offen</v>
      </c>
      <c r="J154" s="8"/>
    </row>
    <row r="155" spans="1:10" ht="27.95" customHeight="1">
      <c r="A155" s="15">
        <v>112</v>
      </c>
      <c r="B155" s="7" t="s">
        <v>16</v>
      </c>
      <c r="C155" s="15" t="s">
        <v>287</v>
      </c>
      <c r="D155" s="8" t="s">
        <v>288</v>
      </c>
      <c r="E155" s="18" t="s">
        <v>289</v>
      </c>
      <c r="F155" s="16" t="b">
        <v>0</v>
      </c>
      <c r="G155" s="16" t="b">
        <v>0</v>
      </c>
      <c r="H155" s="16" t="b">
        <v>0</v>
      </c>
      <c r="I155" s="17" t="str">
        <f>IF(COUNTIF(F155:H155,TRUE)=0,"offen",IF(COUNTIF(F155:H155,TRUE)&gt;1,"mehrfach!",IF(G155=TRUE,"n. i. O.","erledigt")))</f>
        <v>offen</v>
      </c>
      <c r="J155" s="8"/>
    </row>
    <row r="156" spans="1:10" ht="40.5" customHeight="1">
      <c r="A156" s="15">
        <v>113</v>
      </c>
      <c r="B156" s="7" t="s">
        <v>16</v>
      </c>
      <c r="C156" s="15" t="s">
        <v>290</v>
      </c>
      <c r="D156" s="8" t="s">
        <v>291</v>
      </c>
      <c r="E156" s="8"/>
      <c r="F156" s="16" t="b">
        <v>0</v>
      </c>
      <c r="G156" s="16" t="b">
        <v>0</v>
      </c>
      <c r="H156" s="16" t="b">
        <v>0</v>
      </c>
      <c r="I156" s="17" t="str">
        <f>IF(COUNTIF(F156:H156,TRUE)=0,"offen",IF(COUNTIF(F156:H156,TRUE)&gt;1,"mehrfach!",IF(G156=TRUE,"n. i. O.","erledigt")))</f>
        <v>offen</v>
      </c>
      <c r="J156" s="8"/>
    </row>
    <row r="157" spans="1:10" ht="27.95" customHeight="1">
      <c r="A157" s="15">
        <v>114</v>
      </c>
      <c r="B157" s="7" t="s">
        <v>16</v>
      </c>
      <c r="C157" s="15" t="s">
        <v>292</v>
      </c>
      <c r="D157" s="8" t="s">
        <v>293</v>
      </c>
      <c r="E157" s="8"/>
      <c r="F157" s="16" t="b">
        <v>0</v>
      </c>
      <c r="G157" s="16" t="b">
        <v>0</v>
      </c>
      <c r="H157" s="16" t="b">
        <v>0</v>
      </c>
      <c r="I157" s="17" t="str">
        <f>IF(COUNTIF(F157:H157,TRUE)=0,"offen",IF(COUNTIF(F157:H157,TRUE)&gt;1,"mehrfach!",IF(G157=TRUE,"n. i. O.","erledigt")))</f>
        <v>offen</v>
      </c>
      <c r="J157" s="8"/>
    </row>
    <row r="158" spans="1:10" ht="27.95" customHeight="1">
      <c r="A158" s="15">
        <v>115</v>
      </c>
      <c r="B158" s="7" t="s">
        <v>16</v>
      </c>
      <c r="C158" s="15" t="s">
        <v>294</v>
      </c>
      <c r="D158" s="8" t="s">
        <v>295</v>
      </c>
      <c r="E158" s="8"/>
      <c r="F158" s="16" t="b">
        <v>0</v>
      </c>
      <c r="G158" s="16" t="b">
        <v>0</v>
      </c>
      <c r="H158" s="16" t="b">
        <v>0</v>
      </c>
      <c r="I158" s="17" t="str">
        <f>IF(COUNTIF(F158:H158,TRUE)=0,"offen",IF(COUNTIF(F158:H158,TRUE)&gt;1,"mehrfach!",IF(G158=TRUE,"n. i. O.","erledigt")))</f>
        <v>offen</v>
      </c>
      <c r="J158" s="8"/>
    </row>
    <row r="159" spans="1:10" ht="15.6" customHeight="1">
      <c r="A159" s="15">
        <v>116</v>
      </c>
      <c r="B159" s="7" t="s">
        <v>16</v>
      </c>
      <c r="C159" s="15" t="s">
        <v>296</v>
      </c>
      <c r="D159" s="8" t="s">
        <v>297</v>
      </c>
      <c r="E159" s="8"/>
      <c r="F159" s="16" t="b">
        <v>0</v>
      </c>
      <c r="G159" s="16" t="b">
        <v>0</v>
      </c>
      <c r="H159" s="16" t="b">
        <v>0</v>
      </c>
      <c r="I159" s="17" t="str">
        <f>IF(COUNTIF(F159:H159,TRUE)=0,"offen",IF(COUNTIF(F159:H159,TRUE)&gt;1,"mehrfach!",IF(G159=TRUE,"n. i. O.","erledigt")))</f>
        <v>offen</v>
      </c>
      <c r="J159" s="8"/>
    </row>
    <row r="160" spans="1:10" ht="27.95" customHeight="1">
      <c r="A160" s="15">
        <v>117</v>
      </c>
      <c r="B160" s="7" t="s">
        <v>16</v>
      </c>
      <c r="C160" s="15" t="s">
        <v>298</v>
      </c>
      <c r="D160" s="8" t="s">
        <v>299</v>
      </c>
      <c r="E160" s="8"/>
      <c r="F160" s="16" t="b">
        <v>0</v>
      </c>
      <c r="G160" s="16" t="b">
        <v>0</v>
      </c>
      <c r="H160" s="16" t="b">
        <v>0</v>
      </c>
      <c r="I160" s="17" t="str">
        <f>IF(COUNTIF(F160:H160,TRUE)=0,"offen",IF(COUNTIF(F160:H160,TRUE)&gt;1,"mehrfach!",IF(G160=TRUE,"n. i. O.","erledigt")))</f>
        <v>offen</v>
      </c>
      <c r="J160" s="8"/>
    </row>
    <row r="161" spans="1:10" ht="20.100000000000001" customHeight="1">
      <c r="A161" s="27" t="s">
        <v>300</v>
      </c>
      <c r="B161" s="27"/>
      <c r="C161" s="27"/>
      <c r="D161" s="27"/>
      <c r="E161" s="27"/>
      <c r="F161" s="27"/>
      <c r="G161" s="27"/>
      <c r="H161" s="27"/>
      <c r="I161" s="27"/>
      <c r="J161" s="27"/>
    </row>
    <row r="162" spans="1:10">
      <c r="A162" s="28" t="s">
        <v>301</v>
      </c>
      <c r="B162" s="28"/>
      <c r="C162" s="28"/>
      <c r="D162" s="28"/>
      <c r="E162" s="28"/>
      <c r="F162" s="28"/>
      <c r="G162" s="28"/>
      <c r="H162" s="28"/>
      <c r="I162" s="28"/>
      <c r="J162" s="28"/>
    </row>
    <row r="163" spans="1:10" ht="27.95" customHeight="1">
      <c r="A163" s="15">
        <v>118</v>
      </c>
      <c r="B163" s="7" t="s">
        <v>16</v>
      </c>
      <c r="C163" s="15" t="s">
        <v>302</v>
      </c>
      <c r="D163" s="8" t="s">
        <v>303</v>
      </c>
      <c r="E163" s="8"/>
      <c r="F163" s="16" t="b">
        <v>0</v>
      </c>
      <c r="G163" s="16" t="b">
        <v>0</v>
      </c>
      <c r="H163" s="16" t="b">
        <v>0</v>
      </c>
      <c r="I163" s="17" t="str">
        <f>IF(COUNTIF(F163:H163,TRUE)=0,"offen",IF(COUNTIF(F163:H163,TRUE)&gt;1,"mehrfach!",IF(G163=TRUE,"n. i. O.","erledigt")))</f>
        <v>offen</v>
      </c>
      <c r="J163" s="8"/>
    </row>
    <row r="164" spans="1:10" ht="15.6" customHeight="1">
      <c r="A164" s="15">
        <v>119</v>
      </c>
      <c r="B164" s="7" t="s">
        <v>16</v>
      </c>
      <c r="C164" s="15" t="s">
        <v>304</v>
      </c>
      <c r="D164" s="8" t="s">
        <v>305</v>
      </c>
      <c r="E164" s="8"/>
      <c r="F164" s="16" t="b">
        <v>0</v>
      </c>
      <c r="G164" s="16" t="b">
        <v>0</v>
      </c>
      <c r="H164" s="16" t="b">
        <v>0</v>
      </c>
      <c r="I164" s="17" t="str">
        <f>IF(COUNTIF(F164:H164,TRUE)=0,"offen",IF(COUNTIF(F164:H164,TRUE)&gt;1,"mehrfach!",IF(G164=TRUE,"n. i. O.","erledigt")))</f>
        <v>offen</v>
      </c>
      <c r="J164" s="8"/>
    </row>
    <row r="165" spans="1:10" ht="15.6" customHeight="1">
      <c r="A165" s="15">
        <v>120</v>
      </c>
      <c r="B165" s="7" t="s">
        <v>16</v>
      </c>
      <c r="C165" s="15" t="s">
        <v>306</v>
      </c>
      <c r="D165" s="8" t="s">
        <v>307</v>
      </c>
      <c r="E165" s="8"/>
      <c r="F165" s="16" t="b">
        <v>0</v>
      </c>
      <c r="G165" s="16" t="b">
        <v>0</v>
      </c>
      <c r="H165" s="16" t="b">
        <v>0</v>
      </c>
      <c r="I165" s="17" t="str">
        <f>IF(COUNTIF(F165:H165,TRUE)=0,"offen",IF(COUNTIF(F165:H165,TRUE)&gt;1,"mehrfach!",IF(G165=TRUE,"n. i. O.","erledigt")))</f>
        <v>offen</v>
      </c>
      <c r="J165" s="8"/>
    </row>
    <row r="166" spans="1:10" ht="27.95" customHeight="1">
      <c r="A166" s="15">
        <v>121</v>
      </c>
      <c r="B166" s="7" t="s">
        <v>16</v>
      </c>
      <c r="C166" s="15" t="s">
        <v>308</v>
      </c>
      <c r="D166" s="8" t="s">
        <v>309</v>
      </c>
      <c r="E166" s="8"/>
      <c r="F166" s="16" t="b">
        <v>0</v>
      </c>
      <c r="G166" s="16" t="b">
        <v>0</v>
      </c>
      <c r="H166" s="16" t="b">
        <v>0</v>
      </c>
      <c r="I166" s="17" t="str">
        <f>IF(COUNTIF(F166:H166,TRUE)=0,"offen",IF(COUNTIF(F166:H166,TRUE)&gt;1,"mehrfach!",IF(G166=TRUE,"n. i. O.","erledigt")))</f>
        <v>offen</v>
      </c>
      <c r="J166" s="8"/>
    </row>
    <row r="167" spans="1:10" ht="20.100000000000001" customHeight="1">
      <c r="A167" s="27" t="s">
        <v>310</v>
      </c>
      <c r="B167" s="27"/>
      <c r="C167" s="27"/>
      <c r="D167" s="27"/>
      <c r="E167" s="27"/>
      <c r="F167" s="27"/>
      <c r="G167" s="27"/>
      <c r="H167" s="27"/>
      <c r="I167" s="27"/>
      <c r="J167" s="27"/>
    </row>
    <row r="168" spans="1:10">
      <c r="A168" s="28" t="s">
        <v>311</v>
      </c>
      <c r="B168" s="28"/>
      <c r="C168" s="28"/>
      <c r="D168" s="28"/>
      <c r="E168" s="28"/>
      <c r="F168" s="28"/>
      <c r="G168" s="28"/>
      <c r="H168" s="28"/>
      <c r="I168" s="28"/>
      <c r="J168" s="28"/>
    </row>
    <row r="169" spans="1:10" ht="15.6" customHeight="1">
      <c r="A169" s="15">
        <v>122</v>
      </c>
      <c r="B169" s="7" t="s">
        <v>16</v>
      </c>
      <c r="C169" s="15" t="s">
        <v>312</v>
      </c>
      <c r="D169" s="8" t="s">
        <v>313</v>
      </c>
      <c r="E169" s="8"/>
      <c r="F169" s="24"/>
      <c r="G169" s="24"/>
      <c r="H169" s="24"/>
      <c r="I169" s="24"/>
      <c r="J169" s="8"/>
    </row>
    <row r="170" spans="1:10" ht="27.95" customHeight="1">
      <c r="A170" s="15">
        <v>123</v>
      </c>
      <c r="B170" s="7" t="s">
        <v>16</v>
      </c>
      <c r="C170" s="15" t="s">
        <v>314</v>
      </c>
      <c r="D170" s="8" t="s">
        <v>315</v>
      </c>
      <c r="E170" s="8"/>
      <c r="F170" s="16" t="b">
        <v>0</v>
      </c>
      <c r="G170" s="16" t="b">
        <v>0</v>
      </c>
      <c r="H170" s="16" t="b">
        <v>0</v>
      </c>
      <c r="I170" s="17" t="str">
        <f>IF(COUNTIF(F170:H170,TRUE)=0,"offen",IF(COUNTIF(F170:H170,TRUE)&gt;1,"mehrfach!",IF(G170=TRUE,"n. i. O.","erledigt")))</f>
        <v>offen</v>
      </c>
      <c r="J170" s="8"/>
    </row>
    <row r="171" spans="1:10" ht="27.95" customHeight="1">
      <c r="A171" s="15">
        <v>124</v>
      </c>
      <c r="B171" s="7" t="s">
        <v>16</v>
      </c>
      <c r="C171" s="15" t="s">
        <v>316</v>
      </c>
      <c r="D171" s="8" t="s">
        <v>317</v>
      </c>
      <c r="E171" s="8"/>
      <c r="F171" s="16" t="b">
        <v>0</v>
      </c>
      <c r="G171" s="16" t="b">
        <v>0</v>
      </c>
      <c r="H171" s="16" t="b">
        <v>0</v>
      </c>
      <c r="I171" s="17" t="str">
        <f>IF(COUNTIF(F171:H171,TRUE)=0,"offen",IF(COUNTIF(F171:H171,TRUE)&gt;1,"mehrfach!",IF(G171=TRUE,"n. i. O.","erledigt")))</f>
        <v>offen</v>
      </c>
      <c r="J171" s="8"/>
    </row>
    <row r="172" spans="1:10" ht="27.95" customHeight="1">
      <c r="A172" s="15">
        <v>125</v>
      </c>
      <c r="B172" s="7" t="s">
        <v>16</v>
      </c>
      <c r="C172" s="15" t="s">
        <v>318</v>
      </c>
      <c r="D172" s="8" t="s">
        <v>319</v>
      </c>
      <c r="E172" s="8"/>
      <c r="F172" s="16" t="b">
        <v>0</v>
      </c>
      <c r="G172" s="16" t="b">
        <v>0</v>
      </c>
      <c r="H172" s="16" t="b">
        <v>0</v>
      </c>
      <c r="I172" s="17" t="str">
        <f>IF(COUNTIF(F172:H172,TRUE)=0,"offen",IF(COUNTIF(F172:H172,TRUE)&gt;1,"mehrfach!",IF(G172=TRUE,"n. i. O.","erledigt")))</f>
        <v>offen</v>
      </c>
      <c r="J172" s="8"/>
    </row>
    <row r="173" spans="1:10" ht="40.5" customHeight="1">
      <c r="A173" s="15">
        <v>126</v>
      </c>
      <c r="B173" s="7" t="s">
        <v>16</v>
      </c>
      <c r="C173" s="15" t="s">
        <v>320</v>
      </c>
      <c r="D173" s="8" t="s">
        <v>321</v>
      </c>
      <c r="E173" s="18" t="s">
        <v>322</v>
      </c>
      <c r="F173" s="16" t="b">
        <v>0</v>
      </c>
      <c r="G173" s="16" t="b">
        <v>0</v>
      </c>
      <c r="H173" s="16" t="b">
        <v>0</v>
      </c>
      <c r="I173" s="17" t="str">
        <f>IF(COUNTIF(F173:H173,TRUE)=0,"offen",IF(COUNTIF(F173:H173,TRUE)&gt;1,"mehrfach!",IF(G173=TRUE,"n. i. O.","erledigt")))</f>
        <v>offen</v>
      </c>
      <c r="J173" s="8"/>
    </row>
    <row r="174" spans="1:10" ht="27.95" customHeight="1">
      <c r="A174" s="15">
        <v>127</v>
      </c>
      <c r="B174" s="7" t="s">
        <v>16</v>
      </c>
      <c r="C174" s="15" t="s">
        <v>323</v>
      </c>
      <c r="D174" s="8" t="s">
        <v>324</v>
      </c>
      <c r="E174" s="8"/>
      <c r="F174" s="16" t="b">
        <v>0</v>
      </c>
      <c r="G174" s="16" t="b">
        <v>0</v>
      </c>
      <c r="H174" s="16" t="b">
        <v>0</v>
      </c>
      <c r="I174" s="17" t="str">
        <f>IF(COUNTIF(F174:H174,TRUE)=0,"offen",IF(COUNTIF(F174:H174,TRUE)&gt;1,"mehrfach!",IF(G174=TRUE,"n. i. O.","erledigt")))</f>
        <v>offen</v>
      </c>
      <c r="J174" s="8"/>
    </row>
    <row r="175" spans="1:10" ht="27.95" customHeight="1">
      <c r="A175" s="15">
        <v>128</v>
      </c>
      <c r="B175" s="7" t="s">
        <v>16</v>
      </c>
      <c r="C175" s="15" t="s">
        <v>325</v>
      </c>
      <c r="D175" s="8" t="s">
        <v>326</v>
      </c>
      <c r="E175" s="8"/>
      <c r="F175" s="16" t="b">
        <v>0</v>
      </c>
      <c r="G175" s="16" t="b">
        <v>0</v>
      </c>
      <c r="H175" s="16" t="b">
        <v>0</v>
      </c>
      <c r="I175" s="17" t="str">
        <f>IF(COUNTIF(F175:H175,TRUE)=0,"offen",IF(COUNTIF(F175:H175,TRUE)&gt;1,"mehrfach!",IF(G175=TRUE,"n. i. O.","erledigt")))</f>
        <v>offen</v>
      </c>
      <c r="J175" s="8"/>
    </row>
    <row r="176" spans="1:10" ht="27.95" customHeight="1">
      <c r="A176" s="15">
        <v>129</v>
      </c>
      <c r="B176" s="7" t="s">
        <v>16</v>
      </c>
      <c r="C176" s="15" t="s">
        <v>327</v>
      </c>
      <c r="D176" s="8" t="s">
        <v>328</v>
      </c>
      <c r="E176" s="8"/>
      <c r="F176" s="16" t="b">
        <v>0</v>
      </c>
      <c r="G176" s="16" t="b">
        <v>0</v>
      </c>
      <c r="H176" s="16" t="b">
        <v>0</v>
      </c>
      <c r="I176" s="17" t="str">
        <f>IF(COUNTIF(F176:H176,TRUE)=0,"offen",IF(COUNTIF(F176:H176,TRUE)&gt;1,"mehrfach!",IF(G176=TRUE,"n. i. O.","erledigt")))</f>
        <v>offen</v>
      </c>
      <c r="J176" s="8"/>
    </row>
    <row r="177" spans="1:10">
      <c r="A177" s="28" t="s">
        <v>329</v>
      </c>
      <c r="B177" s="28"/>
      <c r="C177" s="28"/>
      <c r="D177" s="28"/>
      <c r="E177" s="28"/>
      <c r="F177" s="28"/>
      <c r="G177" s="28"/>
      <c r="H177" s="28"/>
      <c r="I177" s="28"/>
      <c r="J177" s="28"/>
    </row>
    <row r="178" spans="1:10" ht="15.6" customHeight="1">
      <c r="A178" s="15">
        <v>130</v>
      </c>
      <c r="B178" s="7" t="s">
        <v>16</v>
      </c>
      <c r="C178" s="15" t="s">
        <v>330</v>
      </c>
      <c r="D178" s="8" t="s">
        <v>313</v>
      </c>
      <c r="E178" s="8"/>
      <c r="F178" s="24"/>
      <c r="G178" s="24"/>
      <c r="H178" s="24"/>
      <c r="I178" s="24"/>
      <c r="J178" s="8"/>
    </row>
    <row r="179" spans="1:10" ht="15.6" customHeight="1">
      <c r="A179" s="15">
        <v>131</v>
      </c>
      <c r="B179" s="7" t="s">
        <v>16</v>
      </c>
      <c r="C179" s="15" t="s">
        <v>331</v>
      </c>
      <c r="D179" s="8" t="s">
        <v>332</v>
      </c>
      <c r="E179" s="8"/>
      <c r="F179" s="16" t="b">
        <v>0</v>
      </c>
      <c r="G179" s="16" t="b">
        <v>0</v>
      </c>
      <c r="H179" s="16" t="b">
        <v>0</v>
      </c>
      <c r="I179" s="17" t="str">
        <f>IF(COUNTIF(F179:H179,TRUE)=0,"offen",IF(COUNTIF(F179:H179,TRUE)&gt;1,"mehrfach!",IF(G179=TRUE,"n. i. O.","erledigt")))</f>
        <v>offen</v>
      </c>
      <c r="J179" s="8"/>
    </row>
    <row r="180" spans="1:10" ht="27.95" customHeight="1">
      <c r="A180" s="15">
        <v>132</v>
      </c>
      <c r="B180" s="7" t="s">
        <v>16</v>
      </c>
      <c r="C180" s="15" t="s">
        <v>333</v>
      </c>
      <c r="D180" s="8" t="s">
        <v>334</v>
      </c>
      <c r="E180" s="8"/>
      <c r="F180" s="16" t="b">
        <v>0</v>
      </c>
      <c r="G180" s="16" t="b">
        <v>0</v>
      </c>
      <c r="H180" s="16" t="b">
        <v>0</v>
      </c>
      <c r="I180" s="17" t="str">
        <f>IF(COUNTIF(F180:H180,TRUE)=0,"offen",IF(COUNTIF(F180:H180,TRUE)&gt;1,"mehrfach!",IF(G180=TRUE,"n. i. O.","erledigt")))</f>
        <v>offen</v>
      </c>
      <c r="J180" s="8"/>
    </row>
    <row r="181" spans="1:10" ht="27.95" customHeight="1">
      <c r="A181" s="15">
        <v>133</v>
      </c>
      <c r="B181" s="7" t="s">
        <v>16</v>
      </c>
      <c r="C181" s="15" t="s">
        <v>335</v>
      </c>
      <c r="D181" s="8" t="s">
        <v>336</v>
      </c>
      <c r="E181" s="8"/>
      <c r="F181" s="16" t="b">
        <v>0</v>
      </c>
      <c r="G181" s="16" t="b">
        <v>0</v>
      </c>
      <c r="H181" s="16" t="b">
        <v>0</v>
      </c>
      <c r="I181" s="17" t="str">
        <f>IF(COUNTIF(F181:H181,TRUE)=0,"offen",IF(COUNTIF(F181:H181,TRUE)&gt;1,"mehrfach!",IF(G181=TRUE,"n. i. O.","erledigt")))</f>
        <v>offen</v>
      </c>
      <c r="J181" s="8"/>
    </row>
    <row r="182" spans="1:10" ht="27.95" customHeight="1">
      <c r="A182" s="15">
        <v>134</v>
      </c>
      <c r="B182" s="7" t="s">
        <v>16</v>
      </c>
      <c r="C182" s="15" t="s">
        <v>337</v>
      </c>
      <c r="D182" s="8" t="s">
        <v>338</v>
      </c>
      <c r="E182" s="8"/>
      <c r="F182" s="16" t="b">
        <v>0</v>
      </c>
      <c r="G182" s="16" t="b">
        <v>0</v>
      </c>
      <c r="H182" s="16" t="b">
        <v>0</v>
      </c>
      <c r="I182" s="17" t="str">
        <f>IF(COUNTIF(F182:H182,TRUE)=0,"offen",IF(COUNTIF(F182:H182,TRUE)&gt;1,"mehrfach!",IF(G182=TRUE,"n. i. O.","erledigt")))</f>
        <v>offen</v>
      </c>
      <c r="J182" s="8"/>
    </row>
    <row r="183" spans="1:10" ht="53.1" customHeight="1">
      <c r="A183" s="15">
        <v>135</v>
      </c>
      <c r="B183" s="7" t="s">
        <v>16</v>
      </c>
      <c r="C183" s="15" t="s">
        <v>339</v>
      </c>
      <c r="D183" s="8" t="s">
        <v>340</v>
      </c>
      <c r="E183" s="8"/>
      <c r="F183" s="16" t="b">
        <v>0</v>
      </c>
      <c r="G183" s="16" t="b">
        <v>0</v>
      </c>
      <c r="H183" s="16" t="b">
        <v>0</v>
      </c>
      <c r="I183" s="17" t="str">
        <f>IF(COUNTIF(F183:H183,TRUE)=0,"offen",IF(COUNTIF(F183:H183,TRUE)&gt;1,"mehrfach!",IF(G183=TRUE,"n. i. O.","erledigt")))</f>
        <v>offen</v>
      </c>
      <c r="J183" s="8"/>
    </row>
    <row r="184" spans="1:10" ht="20.100000000000001" customHeight="1">
      <c r="A184" s="27" t="s">
        <v>341</v>
      </c>
      <c r="B184" s="27"/>
      <c r="C184" s="27"/>
      <c r="D184" s="27"/>
      <c r="E184" s="27"/>
      <c r="F184" s="27"/>
      <c r="G184" s="27"/>
      <c r="H184" s="27"/>
      <c r="I184" s="27"/>
      <c r="J184" s="27"/>
    </row>
    <row r="185" spans="1:10">
      <c r="A185" s="28" t="s">
        <v>342</v>
      </c>
      <c r="B185" s="28"/>
      <c r="C185" s="28"/>
      <c r="D185" s="28"/>
      <c r="E185" s="28"/>
      <c r="F185" s="28"/>
      <c r="G185" s="28"/>
      <c r="H185" s="28"/>
      <c r="I185" s="28"/>
      <c r="J185" s="28"/>
    </row>
    <row r="186" spans="1:10" ht="15.6" customHeight="1">
      <c r="A186" s="15">
        <v>136</v>
      </c>
      <c r="B186" s="7" t="s">
        <v>16</v>
      </c>
      <c r="C186" s="15" t="s">
        <v>343</v>
      </c>
      <c r="D186" s="8" t="s">
        <v>344</v>
      </c>
      <c r="E186" s="8"/>
      <c r="F186" s="16" t="b">
        <v>0</v>
      </c>
      <c r="G186" s="16" t="b">
        <v>0</v>
      </c>
      <c r="H186" s="16" t="b">
        <v>0</v>
      </c>
      <c r="I186" s="17" t="str">
        <f>IF(COUNTIF(F186:H186,TRUE)=0,"offen",IF(COUNTIF(F186:H186,TRUE)&gt;1,"mehrfach!",IF(G186=TRUE,"n. i. O.","erledigt")))</f>
        <v>offen</v>
      </c>
      <c r="J186" s="8"/>
    </row>
    <row r="187" spans="1:10">
      <c r="A187" s="28" t="s">
        <v>345</v>
      </c>
      <c r="B187" s="28"/>
      <c r="C187" s="28"/>
      <c r="D187" s="28"/>
      <c r="E187" s="28"/>
      <c r="F187" s="28"/>
      <c r="G187" s="28"/>
      <c r="H187" s="28"/>
      <c r="I187" s="28"/>
      <c r="J187" s="28"/>
    </row>
    <row r="188" spans="1:10" ht="27.95" customHeight="1">
      <c r="A188" s="15">
        <v>137</v>
      </c>
      <c r="B188" s="7" t="s">
        <v>16</v>
      </c>
      <c r="C188" s="15" t="s">
        <v>346</v>
      </c>
      <c r="D188" s="8" t="s">
        <v>347</v>
      </c>
      <c r="E188" s="8"/>
      <c r="F188" s="16" t="b">
        <v>0</v>
      </c>
      <c r="G188" s="16" t="b">
        <v>0</v>
      </c>
      <c r="H188" s="16" t="b">
        <v>0</v>
      </c>
      <c r="I188" s="17" t="str">
        <f>IF(COUNTIF(F188:H188,TRUE)=0,"offen",IF(COUNTIF(F188:H188,TRUE)&gt;1,"mehrfach!",IF(G188=TRUE,"n. i. O.","erledigt")))</f>
        <v>offen</v>
      </c>
      <c r="J188" s="8"/>
    </row>
    <row r="189" spans="1:10" ht="27.95" customHeight="1">
      <c r="A189" s="15">
        <v>138</v>
      </c>
      <c r="B189" s="7" t="s">
        <v>16</v>
      </c>
      <c r="C189" s="15" t="s">
        <v>348</v>
      </c>
      <c r="D189" s="8" t="s">
        <v>349</v>
      </c>
      <c r="E189" s="8"/>
      <c r="F189" s="16" t="b">
        <v>0</v>
      </c>
      <c r="G189" s="16" t="b">
        <v>0</v>
      </c>
      <c r="H189" s="16" t="b">
        <v>0</v>
      </c>
      <c r="I189" s="17" t="str">
        <f>IF(COUNTIF(F189:H189,TRUE)=0,"offen",IF(COUNTIF(F189:H189,TRUE)&gt;1,"mehrfach!",IF(G189=TRUE,"n. i. O.","erledigt")))</f>
        <v>offen</v>
      </c>
      <c r="J189" s="8"/>
    </row>
    <row r="190" spans="1:10" ht="27.95" customHeight="1">
      <c r="A190" s="15">
        <v>139</v>
      </c>
      <c r="B190" s="7" t="s">
        <v>16</v>
      </c>
      <c r="C190" s="15" t="s">
        <v>350</v>
      </c>
      <c r="D190" s="8" t="s">
        <v>351</v>
      </c>
      <c r="E190" s="8"/>
      <c r="F190" s="16" t="b">
        <v>0</v>
      </c>
      <c r="G190" s="16" t="b">
        <v>0</v>
      </c>
      <c r="H190" s="16" t="b">
        <v>0</v>
      </c>
      <c r="I190" s="17" t="str">
        <f>IF(COUNTIF(F190:H190,TRUE)=0,"offen",IF(COUNTIF(F190:H190,TRUE)&gt;1,"mehrfach!",IF(G190=TRUE,"n. i. O.","erledigt")))</f>
        <v>offen</v>
      </c>
      <c r="J190" s="8"/>
    </row>
    <row r="191" spans="1:10">
      <c r="A191" s="28" t="s">
        <v>352</v>
      </c>
      <c r="B191" s="28"/>
      <c r="C191" s="28"/>
      <c r="D191" s="28"/>
      <c r="E191" s="28"/>
      <c r="F191" s="28"/>
      <c r="G191" s="28"/>
      <c r="H191" s="28"/>
      <c r="I191" s="28"/>
      <c r="J191" s="28"/>
    </row>
    <row r="192" spans="1:10" ht="27.95" customHeight="1">
      <c r="A192" s="15">
        <v>140</v>
      </c>
      <c r="B192" s="7" t="s">
        <v>16</v>
      </c>
      <c r="C192" s="15" t="s">
        <v>353</v>
      </c>
      <c r="D192" s="8" t="s">
        <v>354</v>
      </c>
      <c r="E192" s="8"/>
      <c r="F192" s="16" t="b">
        <v>0</v>
      </c>
      <c r="G192" s="16" t="b">
        <v>0</v>
      </c>
      <c r="H192" s="16" t="b">
        <v>0</v>
      </c>
      <c r="I192" s="17" t="str">
        <f>IF(COUNTIF(F192:H192,TRUE)=0,"offen",IF(COUNTIF(F192:H192,TRUE)&gt;1,"mehrfach!",IF(G192=TRUE,"n. i. O.","erledigt")))</f>
        <v>offen</v>
      </c>
      <c r="J192" s="8"/>
    </row>
  </sheetData>
  <autoFilter ref="A4:J192" xr:uid="{00000000-0009-0000-0000-000001000000}"/>
  <mergeCells count="50">
    <mergeCell ref="F178:I178"/>
    <mergeCell ref="A184:J184"/>
    <mergeCell ref="A185:J185"/>
    <mergeCell ref="A187:J187"/>
    <mergeCell ref="A191:J191"/>
    <mergeCell ref="A162:J162"/>
    <mergeCell ref="A167:J167"/>
    <mergeCell ref="A168:J168"/>
    <mergeCell ref="F169:I169"/>
    <mergeCell ref="A177:J177"/>
    <mergeCell ref="A130:J130"/>
    <mergeCell ref="A133:J133"/>
    <mergeCell ref="A138:J138"/>
    <mergeCell ref="A139:J139"/>
    <mergeCell ref="A161:J161"/>
    <mergeCell ref="A119:J119"/>
    <mergeCell ref="A121:J121"/>
    <mergeCell ref="A123:J123"/>
    <mergeCell ref="A126:J126"/>
    <mergeCell ref="A128:J128"/>
    <mergeCell ref="A105:J105"/>
    <mergeCell ref="A106:J106"/>
    <mergeCell ref="A109:J109"/>
    <mergeCell ref="A112:J112"/>
    <mergeCell ref="A115:J115"/>
    <mergeCell ref="A93:J93"/>
    <mergeCell ref="A95:J95"/>
    <mergeCell ref="A97:J97"/>
    <mergeCell ref="A101:J101"/>
    <mergeCell ref="A102:J102"/>
    <mergeCell ref="A73:J73"/>
    <mergeCell ref="A82:J82"/>
    <mergeCell ref="A85:J85"/>
    <mergeCell ref="A88:J88"/>
    <mergeCell ref="A90:J90"/>
    <mergeCell ref="A54:J54"/>
    <mergeCell ref="A58:J58"/>
    <mergeCell ref="A61:J61"/>
    <mergeCell ref="A63:J63"/>
    <mergeCell ref="A69:J69"/>
    <mergeCell ref="A23:J23"/>
    <mergeCell ref="A27:J27"/>
    <mergeCell ref="A37:J37"/>
    <mergeCell ref="A42:J42"/>
    <mergeCell ref="A51:J51"/>
    <mergeCell ref="A5:J5"/>
    <mergeCell ref="A8:J8"/>
    <mergeCell ref="A9:J9"/>
    <mergeCell ref="A18:J18"/>
    <mergeCell ref="A19:J19"/>
  </mergeCells>
  <conditionalFormatting sqref="I5:I192">
    <cfRule type="cellIs" dxfId="2" priority="1" operator="equal">
      <formula>"erledigt"</formula>
    </cfRule>
    <cfRule type="cellIs" dxfId="1" priority="2" operator="equal">
      <formula>"n. i. O."</formula>
    </cfRule>
    <cfRule type="cellIs" dxfId="0" priority="3" operator="equal">
      <formula>"mehrfach!"</formula>
    </cfRule>
  </conditionalFormatting>
  <hyperlinks>
    <hyperlink ref="E14" location="'Prüfprotokoll'!D70" tooltip="Zur Styleguide-Frage springen" display="↓ SG 3.1.11" xr:uid="{00000000-0004-0000-0100-000000000000}"/>
    <hyperlink ref="E17" location="'Prüfprotokoll'!A18" tooltip="Zur Styleguide-Frage springen" display="↓ SG 3.1" xr:uid="{00000000-0004-0000-0100-000001000000}"/>
    <hyperlink ref="E38" location="'Prüfprotokoll'!D149" tooltip="Zur TIP-S3-Frage springen" display="↓ TIP S3 Nr. 20" xr:uid="{00000000-0004-0000-0100-000002000000}"/>
    <hyperlink ref="E64" location="'Prüfprotokoll'!D155" tooltip="Zur TIP-S3-Frage springen" display="↓ TIP S3 Nr. 26" xr:uid="{00000000-0004-0000-0100-000003000000}"/>
    <hyperlink ref="E70" location="'Prüfprotokoll'!D14" tooltip="Zur TIP-S3-Frage springen" display="↑ TIP S3 Nr. 5" xr:uid="{00000000-0004-0000-0100-000004000000}"/>
    <hyperlink ref="E74" location="'Prüfprotokoll'!D148" tooltip="Zur TIP-S3-Frage springen" display="↓ TIP S3 Nr. 19" xr:uid="{00000000-0004-0000-0100-000005000000}"/>
    <hyperlink ref="E89" location="'Prüfprotokoll'!D173" tooltip="Zur TIP-S3-Frage springen" display="↓ TIP S3 Nr. 40" xr:uid="{00000000-0004-0000-0100-000006000000}"/>
    <hyperlink ref="E103" location="'Prüfprotokoll'!D122" tooltip="Zur Styleguide-Frage springen" display="↓ SG 3.2.6" xr:uid="{00000000-0004-0000-0100-000007000000}"/>
    <hyperlink ref="E104" location="'Prüfprotokoll'!A105" tooltip="Zur Styleguide-Frage springen" display="↓ SG 3.2" xr:uid="{00000000-0004-0000-0100-000008000000}"/>
    <hyperlink ref="E116" location="'Prüfprotokoll'!D141" tooltip="Zur TIP-S3-Frage springen" display="↓ TIP S3 Nr. 12" xr:uid="{00000000-0004-0000-0100-000009000000}"/>
    <hyperlink ref="E122" location="'Prüfprotokoll'!D103" tooltip="Zur TIP-S3-Frage springen" display="↑ TIP S3 Nr. 9" xr:uid="{00000000-0004-0000-0100-00000A000000}"/>
    <hyperlink ref="E131" location="'Prüfprotokoll'!D145" tooltip="Zur TIP-S3-Frage springen" display="↓ TIP S3 Nr. 16" xr:uid="{00000000-0004-0000-0100-00000B000000}"/>
    <hyperlink ref="E134" location="'Prüfprotokoll'!D147" tooltip="Zur TIP-S3-Frage springen" display="↓ TIP S3 Nr. 18" xr:uid="{00000000-0004-0000-0100-00000C000000}"/>
    <hyperlink ref="E141" location="'Prüfprotokoll'!D116" tooltip="Zur Styleguide-Frage springen" display="↑ SG 3.2.4" xr:uid="{00000000-0004-0000-0100-00000D000000}"/>
    <hyperlink ref="E145" location="'Prüfprotokoll'!D131" tooltip="Zur Styleguide-Frage springen" display="↑ SG 3.2.10" xr:uid="{00000000-0004-0000-0100-00000E000000}"/>
    <hyperlink ref="E147" location="'Prüfprotokoll'!D134" tooltip="Zur Styleguide-Frage springen" display="↑ SG 3.2.11" xr:uid="{00000000-0004-0000-0100-00000F000000}"/>
    <hyperlink ref="E148" location="'Prüfprotokoll'!D74" tooltip="Zur Styleguide-Frage springen" display="↑ SG 3.1.12" xr:uid="{00000000-0004-0000-0100-000010000000}"/>
    <hyperlink ref="E149" location="'Prüfprotokoll'!D38" tooltip="Zur Styleguide-Frage springen" display="↑ SG 3.1.4" xr:uid="{00000000-0004-0000-0100-000011000000}"/>
    <hyperlink ref="E155" location="'Prüfprotokoll'!D64" tooltip="Zur Styleguide-Frage springen" display="↑ SG 3.1.10" xr:uid="{00000000-0004-0000-0100-000012000000}"/>
    <hyperlink ref="E173" location="'Prüfprotokoll'!D89" tooltip="Zur Styleguide-Frage springen" display="↑ SG 3.1.15" xr:uid="{00000000-0004-0000-0100-000013000000}"/>
  </hyperlinks>
  <pageMargins left="0.4" right="0.4" top="0.6" bottom="0.6" header="0.3" footer="0.3"/>
  <pageSetup paperSize="9" fitToHeight="0" orientation="landscape"/>
  <headerFooter>
    <oddHeader>&amp;L&amp;8Hitachi Rail · Interne Abnahmeprüfung&amp;R&amp;8Prüfprotokoll Bedienoberfläche (TIP S3 + Design Styleguide)</oddHeader>
    <oddFooter>&amp;L&amp;8Template Ausgabe 02&amp;R&amp;8Seite &amp;P von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I39"/>
  <sheetViews>
    <sheetView workbookViewId="0"/>
  </sheetViews>
  <sheetFormatPr defaultRowHeight="15"/>
  <cols>
    <col min="1" max="1" width="3.7109375" customWidth="1"/>
    <col min="2" max="2" width="44.7109375" customWidth="1"/>
    <col min="3" max="9" width="11.7109375" customWidth="1"/>
    <col min="10" max="10" width="3.7109375" customWidth="1"/>
  </cols>
  <sheetData>
    <row r="2" spans="2:9">
      <c r="B2" s="11" t="s">
        <v>355</v>
      </c>
    </row>
    <row r="4" spans="2:9">
      <c r="B4" s="5" t="s">
        <v>356</v>
      </c>
      <c r="C4" s="5" t="s">
        <v>16</v>
      </c>
      <c r="D4" s="5" t="s">
        <v>18</v>
      </c>
      <c r="E4" s="5" t="s">
        <v>44</v>
      </c>
      <c r="F4" s="5" t="s">
        <v>45</v>
      </c>
      <c r="G4" s="5" t="s">
        <v>46</v>
      </c>
      <c r="H4" s="5" t="s">
        <v>357</v>
      </c>
      <c r="I4" s="5" t="s">
        <v>358</v>
      </c>
    </row>
    <row r="5" spans="2:9">
      <c r="B5" s="10" t="s">
        <v>49</v>
      </c>
      <c r="C5" s="12">
        <f>COUNTIF(Prüfprotokoll!B6:B7,"TIP S3")</f>
        <v>0</v>
      </c>
      <c r="D5" s="12">
        <f>COUNTIF(Prüfprotokoll!B6:B7,"SG")</f>
        <v>2</v>
      </c>
      <c r="E5" s="12">
        <f>COUNTIF(Prüfprotokoll!F6:F7,TRUE)</f>
        <v>0</v>
      </c>
      <c r="F5" s="12">
        <f>COUNTIF(Prüfprotokoll!G6:G7,TRUE)</f>
        <v>0</v>
      </c>
      <c r="G5" s="12">
        <f>COUNTIF(Prüfprotokoll!H6:H7,TRUE)</f>
        <v>0</v>
      </c>
      <c r="H5" s="12">
        <f>COUNTIF(Prüfprotokoll!I6:I7,"offen")</f>
        <v>2</v>
      </c>
      <c r="I5" s="12">
        <f>COUNTIF(Prüfprotokoll!I6:I7,"mehrfach!")</f>
        <v>0</v>
      </c>
    </row>
    <row r="6" spans="2:9">
      <c r="B6" s="10" t="s">
        <v>53</v>
      </c>
      <c r="C6" s="12">
        <f>COUNTIF(Prüfprotokoll!B9:B100,"TIP S3")</f>
        <v>8</v>
      </c>
      <c r="D6" s="12">
        <f>COUNTIF(Prüfprotokoll!B9:B100,"SG")</f>
        <v>63</v>
      </c>
      <c r="E6" s="12">
        <f>COUNTIF(Prüfprotokoll!F9:F100,TRUE)</f>
        <v>0</v>
      </c>
      <c r="F6" s="12">
        <f>COUNTIF(Prüfprotokoll!G9:G100,TRUE)</f>
        <v>0</v>
      </c>
      <c r="G6" s="12">
        <f>COUNTIF(Prüfprotokoll!H9:H100,TRUE)</f>
        <v>0</v>
      </c>
      <c r="H6" s="12">
        <f>COUNTIF(Prüfprotokoll!I9:I100,"offen")</f>
        <v>71</v>
      </c>
      <c r="I6" s="12">
        <f>COUNTIF(Prüfprotokoll!I9:I100,"mehrfach!")</f>
        <v>0</v>
      </c>
    </row>
    <row r="7" spans="2:9">
      <c r="B7" s="10" t="s">
        <v>193</v>
      </c>
      <c r="C7" s="12">
        <f>COUNTIF(Prüfprotokoll!B102:B137,"TIP S3")</f>
        <v>2</v>
      </c>
      <c r="D7" s="12">
        <f>COUNTIF(Prüfprotokoll!B102:B137,"SG")</f>
        <v>21</v>
      </c>
      <c r="E7" s="12">
        <f>COUNTIF(Prüfprotokoll!F102:F137,TRUE)</f>
        <v>0</v>
      </c>
      <c r="F7" s="12">
        <f>COUNTIF(Prüfprotokoll!G102:G137,TRUE)</f>
        <v>0</v>
      </c>
      <c r="G7" s="12">
        <f>COUNTIF(Prüfprotokoll!H102:H137,TRUE)</f>
        <v>0</v>
      </c>
      <c r="H7" s="12">
        <f>COUNTIF(Prüfprotokoll!I102:I137,"offen")</f>
        <v>23</v>
      </c>
      <c r="I7" s="12">
        <f>COUNTIF(Prüfprotokoll!I102:I137,"mehrfach!")</f>
        <v>0</v>
      </c>
    </row>
    <row r="8" spans="2:9">
      <c r="B8" s="10" t="s">
        <v>250</v>
      </c>
      <c r="C8" s="12">
        <f>COUNTIF(Prüfprotokoll!B139:B160,"TIP S3")</f>
        <v>21</v>
      </c>
      <c r="D8" s="12">
        <f>COUNTIF(Prüfprotokoll!B139:B160,"SG")</f>
        <v>0</v>
      </c>
      <c r="E8" s="12">
        <f>COUNTIF(Prüfprotokoll!F139:F160,TRUE)</f>
        <v>0</v>
      </c>
      <c r="F8" s="12">
        <f>COUNTIF(Prüfprotokoll!G139:G160,TRUE)</f>
        <v>0</v>
      </c>
      <c r="G8" s="12">
        <f>COUNTIF(Prüfprotokoll!H139:H160,TRUE)</f>
        <v>0</v>
      </c>
      <c r="H8" s="12">
        <f>COUNTIF(Prüfprotokoll!I139:I160,"offen")</f>
        <v>21</v>
      </c>
      <c r="I8" s="12">
        <f>COUNTIF(Prüfprotokoll!I139:I160,"mehrfach!")</f>
        <v>0</v>
      </c>
    </row>
    <row r="9" spans="2:9">
      <c r="B9" s="10" t="s">
        <v>300</v>
      </c>
      <c r="C9" s="12">
        <f>COUNTIF(Prüfprotokoll!B162:B166,"TIP S3")</f>
        <v>4</v>
      </c>
      <c r="D9" s="12">
        <f>COUNTIF(Prüfprotokoll!B162:B166,"SG")</f>
        <v>0</v>
      </c>
      <c r="E9" s="12">
        <f>COUNTIF(Prüfprotokoll!F162:F166,TRUE)</f>
        <v>0</v>
      </c>
      <c r="F9" s="12">
        <f>COUNTIF(Prüfprotokoll!G162:G166,TRUE)</f>
        <v>0</v>
      </c>
      <c r="G9" s="12">
        <f>COUNTIF(Prüfprotokoll!H162:H166,TRUE)</f>
        <v>0</v>
      </c>
      <c r="H9" s="12">
        <f>COUNTIF(Prüfprotokoll!I162:I166,"offen")</f>
        <v>4</v>
      </c>
      <c r="I9" s="12">
        <f>COUNTIF(Prüfprotokoll!I162:I166,"mehrfach!")</f>
        <v>0</v>
      </c>
    </row>
    <row r="10" spans="2:9">
      <c r="B10" s="10" t="s">
        <v>310</v>
      </c>
      <c r="C10" s="12">
        <f>COUNTIF(Prüfprotokoll!B168:B183,"TIP S3")</f>
        <v>14</v>
      </c>
      <c r="D10" s="12">
        <f>COUNTIF(Prüfprotokoll!B168:B183,"SG")</f>
        <v>0</v>
      </c>
      <c r="E10" s="12">
        <f>COUNTIF(Prüfprotokoll!F168:F183,TRUE)</f>
        <v>0</v>
      </c>
      <c r="F10" s="12">
        <f>COUNTIF(Prüfprotokoll!G168:G183,TRUE)</f>
        <v>0</v>
      </c>
      <c r="G10" s="12">
        <f>COUNTIF(Prüfprotokoll!H168:H183,TRUE)</f>
        <v>0</v>
      </c>
      <c r="H10" s="12">
        <f>COUNTIF(Prüfprotokoll!I168:I183,"offen")</f>
        <v>12</v>
      </c>
      <c r="I10" s="12">
        <f>COUNTIF(Prüfprotokoll!I168:I183,"mehrfach!")</f>
        <v>0</v>
      </c>
    </row>
    <row r="11" spans="2:9">
      <c r="B11" s="10" t="s">
        <v>341</v>
      </c>
      <c r="C11" s="12">
        <f>COUNTIF(Prüfprotokoll!B185:B192,"TIP S3")</f>
        <v>5</v>
      </c>
      <c r="D11" s="12">
        <f>COUNTIF(Prüfprotokoll!B185:B192,"SG")</f>
        <v>0</v>
      </c>
      <c r="E11" s="12">
        <f>COUNTIF(Prüfprotokoll!F185:F192,TRUE)</f>
        <v>0</v>
      </c>
      <c r="F11" s="12">
        <f>COUNTIF(Prüfprotokoll!G185:G192,TRUE)</f>
        <v>0</v>
      </c>
      <c r="G11" s="12">
        <f>COUNTIF(Prüfprotokoll!H185:H192,TRUE)</f>
        <v>0</v>
      </c>
      <c r="H11" s="12">
        <f>COUNTIF(Prüfprotokoll!I185:I192,"offen")</f>
        <v>5</v>
      </c>
      <c r="I11" s="12">
        <f>COUNTIF(Prüfprotokoll!I185:I192,"mehrfach!")</f>
        <v>0</v>
      </c>
    </row>
    <row r="12" spans="2:9">
      <c r="B12" s="6" t="s">
        <v>359</v>
      </c>
      <c r="C12" s="20">
        <f>SUM(C5:C11)</f>
        <v>54</v>
      </c>
      <c r="D12" s="20">
        <f>SUM(D5:D11)</f>
        <v>86</v>
      </c>
      <c r="E12" s="20">
        <f>SUM(E5:E11)</f>
        <v>0</v>
      </c>
      <c r="F12" s="20">
        <f>SUM(F5:F11)</f>
        <v>0</v>
      </c>
      <c r="G12" s="20">
        <f>SUM(G5:G11)</f>
        <v>0</v>
      </c>
      <c r="H12" s="20">
        <f>SUM(H5:H11)</f>
        <v>138</v>
      </c>
      <c r="I12" s="20">
        <f>SUM(I5:I11)</f>
        <v>0</v>
      </c>
    </row>
    <row r="14" spans="2:9">
      <c r="B14" s="21" t="s">
        <v>360</v>
      </c>
      <c r="C14" s="12">
        <f>COUNTIFS(Prüfprotokoll!B5:B192,"TIP S3",Prüfprotokoll!G5:G192,TRUE)</f>
        <v>0</v>
      </c>
    </row>
    <row r="15" spans="2:9">
      <c r="B15" s="21" t="s">
        <v>361</v>
      </c>
      <c r="C15" s="12">
        <f>COUNTIFS(Prüfprotokoll!B5:B192,"SG",Prüfprotokoll!G5:G192,TRUE)</f>
        <v>0</v>
      </c>
    </row>
    <row r="17" spans="2:9">
      <c r="B17" s="23" t="s">
        <v>362</v>
      </c>
      <c r="C17" s="23"/>
      <c r="D17" s="23"/>
      <c r="E17" s="23"/>
      <c r="F17" s="23"/>
      <c r="G17" s="23"/>
      <c r="H17" s="23"/>
      <c r="I17" s="23"/>
    </row>
    <row r="18" spans="2:9">
      <c r="B18" s="6" t="s">
        <v>363</v>
      </c>
      <c r="C18" s="30" t="str">
        <f>IF(AND(H12=0,I12=0),"Ja – alle Fragen beantwortet","Nein – "&amp;H12&amp;" offen, "&amp;I12&amp;" mehrfach angehakt")</f>
        <v>Nein – 138 offen, 0 mehrfach angehakt</v>
      </c>
      <c r="D18" s="26"/>
      <c r="E18" s="26"/>
      <c r="F18" s="26"/>
      <c r="G18" s="26"/>
      <c r="H18" s="26"/>
      <c r="I18" s="26"/>
    </row>
    <row r="19" spans="2:9">
      <c r="B19" s="6" t="s">
        <v>364</v>
      </c>
      <c r="C19" s="30" t="str">
        <f>IF(H12+I12&gt;0,"Prüfung noch nicht abgeschlossen",IF(COUNTIFS(Prüfprotokoll!B5:B192,"SG",Prüfprotokoll!G5:G192,TRUE)=0,"Ja","Nein / mit dokumentierten Abweichungen"))</f>
        <v>Prüfung noch nicht abgeschlossen</v>
      </c>
      <c r="D19" s="26"/>
      <c r="E19" s="26"/>
      <c r="F19" s="26"/>
      <c r="G19" s="26"/>
      <c r="H19" s="26"/>
      <c r="I19" s="26"/>
    </row>
    <row r="21" spans="2:9">
      <c r="B21" s="23" t="s">
        <v>365</v>
      </c>
      <c r="C21" s="23"/>
      <c r="D21" s="23"/>
      <c r="E21" s="23"/>
      <c r="F21" s="23"/>
      <c r="G21" s="23"/>
      <c r="H21" s="23"/>
      <c r="I21" s="23"/>
    </row>
    <row r="22" spans="2:9">
      <c r="B22" s="6" t="s">
        <v>366</v>
      </c>
      <c r="C22" s="6" t="s">
        <v>367</v>
      </c>
      <c r="D22" s="6" t="s">
        <v>40</v>
      </c>
      <c r="E22" s="31" t="s">
        <v>368</v>
      </c>
      <c r="F22" s="31"/>
      <c r="G22" s="31" t="s">
        <v>369</v>
      </c>
      <c r="H22" s="31"/>
      <c r="I22" s="6" t="s">
        <v>370</v>
      </c>
    </row>
    <row r="23" spans="2:9">
      <c r="B23" s="10"/>
      <c r="C23" s="10"/>
      <c r="D23" s="10"/>
      <c r="E23" s="26"/>
      <c r="F23" s="26"/>
      <c r="G23" s="26"/>
      <c r="H23" s="26"/>
      <c r="I23" s="22" t="b">
        <v>0</v>
      </c>
    </row>
    <row r="24" spans="2:9">
      <c r="B24" s="10"/>
      <c r="C24" s="10"/>
      <c r="D24" s="10"/>
      <c r="E24" s="26"/>
      <c r="F24" s="26"/>
      <c r="G24" s="26"/>
      <c r="H24" s="26"/>
      <c r="I24" s="22" t="b">
        <v>0</v>
      </c>
    </row>
    <row r="25" spans="2:9">
      <c r="B25" s="10"/>
      <c r="C25" s="10"/>
      <c r="D25" s="10"/>
      <c r="E25" s="26"/>
      <c r="F25" s="26"/>
      <c r="G25" s="26"/>
      <c r="H25" s="26"/>
      <c r="I25" s="22" t="b">
        <v>0</v>
      </c>
    </row>
    <row r="26" spans="2:9">
      <c r="B26" s="10"/>
      <c r="C26" s="10"/>
      <c r="D26" s="10"/>
      <c r="E26" s="26"/>
      <c r="F26" s="26"/>
      <c r="G26" s="26"/>
      <c r="H26" s="26"/>
      <c r="I26" s="22" t="b">
        <v>0</v>
      </c>
    </row>
    <row r="27" spans="2:9">
      <c r="B27" s="10"/>
      <c r="C27" s="10"/>
      <c r="D27" s="10"/>
      <c r="E27" s="26"/>
      <c r="F27" s="26"/>
      <c r="G27" s="26"/>
      <c r="H27" s="26"/>
      <c r="I27" s="22" t="b">
        <v>0</v>
      </c>
    </row>
    <row r="28" spans="2:9">
      <c r="B28" s="10"/>
      <c r="C28" s="10"/>
      <c r="D28" s="10"/>
      <c r="E28" s="26"/>
      <c r="F28" s="26"/>
      <c r="G28" s="26"/>
      <c r="H28" s="26"/>
      <c r="I28" s="22" t="b">
        <v>0</v>
      </c>
    </row>
    <row r="29" spans="2:9">
      <c r="B29" s="10"/>
      <c r="C29" s="10"/>
      <c r="D29" s="10"/>
      <c r="E29" s="26"/>
      <c r="F29" s="26"/>
      <c r="G29" s="26"/>
      <c r="H29" s="26"/>
      <c r="I29" s="22" t="b">
        <v>0</v>
      </c>
    </row>
    <row r="30" spans="2:9">
      <c r="B30" s="10"/>
      <c r="C30" s="10"/>
      <c r="D30" s="10"/>
      <c r="E30" s="26"/>
      <c r="F30" s="26"/>
      <c r="G30" s="26"/>
      <c r="H30" s="26"/>
      <c r="I30" s="22" t="b">
        <v>0</v>
      </c>
    </row>
    <row r="31" spans="2:9">
      <c r="B31" s="10"/>
      <c r="C31" s="10"/>
      <c r="D31" s="10"/>
      <c r="E31" s="26"/>
      <c r="F31" s="26"/>
      <c r="G31" s="26"/>
      <c r="H31" s="26"/>
      <c r="I31" s="22" t="b">
        <v>0</v>
      </c>
    </row>
    <row r="32" spans="2:9">
      <c r="B32" s="10"/>
      <c r="C32" s="10"/>
      <c r="D32" s="10"/>
      <c r="E32" s="26"/>
      <c r="F32" s="26"/>
      <c r="G32" s="26"/>
      <c r="H32" s="26"/>
      <c r="I32" s="22" t="b">
        <v>0</v>
      </c>
    </row>
    <row r="34" spans="2:9">
      <c r="B34" s="23" t="s">
        <v>371</v>
      </c>
      <c r="C34" s="23"/>
      <c r="D34" s="23"/>
      <c r="E34" s="23"/>
      <c r="F34" s="23"/>
      <c r="G34" s="23"/>
      <c r="H34" s="23"/>
      <c r="I34" s="23"/>
    </row>
    <row r="35" spans="2:9">
      <c r="B35" s="6"/>
      <c r="C35" s="31" t="s">
        <v>13</v>
      </c>
      <c r="D35" s="31"/>
      <c r="E35" s="31"/>
      <c r="F35" s="31"/>
      <c r="G35" s="31" t="s">
        <v>372</v>
      </c>
      <c r="H35" s="31"/>
      <c r="I35" s="31"/>
    </row>
    <row r="36" spans="2:9" ht="26.1" customHeight="1">
      <c r="B36" s="6" t="s">
        <v>373</v>
      </c>
      <c r="C36" s="24"/>
      <c r="D36" s="24"/>
      <c r="E36" s="24"/>
      <c r="F36" s="24"/>
      <c r="G36" s="24"/>
      <c r="H36" s="24"/>
      <c r="I36" s="24"/>
    </row>
    <row r="37" spans="2:9" ht="26.1" customHeight="1">
      <c r="B37" s="6" t="s">
        <v>374</v>
      </c>
      <c r="C37" s="24"/>
      <c r="D37" s="24"/>
      <c r="E37" s="24"/>
      <c r="F37" s="24"/>
      <c r="G37" s="24"/>
      <c r="H37" s="24"/>
      <c r="I37" s="24"/>
    </row>
    <row r="38" spans="2:9" ht="26.1" customHeight="1">
      <c r="B38" s="6" t="s">
        <v>14</v>
      </c>
      <c r="C38" s="24"/>
      <c r="D38" s="24"/>
      <c r="E38" s="24"/>
      <c r="F38" s="24"/>
      <c r="G38" s="24"/>
      <c r="H38" s="24"/>
      <c r="I38" s="24"/>
    </row>
    <row r="39" spans="2:9" ht="26.1" customHeight="1">
      <c r="B39" s="6" t="s">
        <v>375</v>
      </c>
      <c r="C39" s="24"/>
      <c r="D39" s="24"/>
      <c r="E39" s="24"/>
      <c r="F39" s="24"/>
      <c r="G39" s="24"/>
      <c r="H39" s="24"/>
      <c r="I39" s="24"/>
    </row>
  </sheetData>
  <mergeCells count="37">
    <mergeCell ref="C39:F39"/>
    <mergeCell ref="G39:I39"/>
    <mergeCell ref="C36:F36"/>
    <mergeCell ref="G36:I36"/>
    <mergeCell ref="C37:F37"/>
    <mergeCell ref="G37:I37"/>
    <mergeCell ref="C38:F38"/>
    <mergeCell ref="G38:I38"/>
    <mergeCell ref="E32:F32"/>
    <mergeCell ref="G32:H32"/>
    <mergeCell ref="B34:I34"/>
    <mergeCell ref="C35:F35"/>
    <mergeCell ref="G35:I35"/>
    <mergeCell ref="E29:F29"/>
    <mergeCell ref="G29:H29"/>
    <mergeCell ref="E30:F30"/>
    <mergeCell ref="G30:H30"/>
    <mergeCell ref="E31:F31"/>
    <mergeCell ref="G31:H31"/>
    <mergeCell ref="E26:F26"/>
    <mergeCell ref="G26:H26"/>
    <mergeCell ref="E27:F27"/>
    <mergeCell ref="G27:H27"/>
    <mergeCell ref="E28:F28"/>
    <mergeCell ref="G28:H28"/>
    <mergeCell ref="E23:F23"/>
    <mergeCell ref="G23:H23"/>
    <mergeCell ref="E24:F24"/>
    <mergeCell ref="G24:H24"/>
    <mergeCell ref="E25:F25"/>
    <mergeCell ref="G25:H25"/>
    <mergeCell ref="B17:I17"/>
    <mergeCell ref="C18:I18"/>
    <mergeCell ref="C19:I19"/>
    <mergeCell ref="B21:I21"/>
    <mergeCell ref="E22:F22"/>
    <mergeCell ref="G22:H22"/>
  </mergeCells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Prüfprotokoll Bedienoberfläche – TIP S3 und Design Styleguide</dc:title>
  <dc:subject/>
  <dc:creator>Hitachi Rail – Interne Abnahmeprüfung</dc:creator>
  <cp:keywords/>
  <dc:description/>
  <cp:lastModifiedBy>KINDT Christian</cp:lastModifiedBy>
  <cp:revision/>
  <dcterms:created xsi:type="dcterms:W3CDTF">2026-10-08T15:07:34Z</dcterms:created>
  <dcterms:modified xsi:type="dcterms:W3CDTF">2026-10-12T05:52:21Z</dcterms:modified>
  <cp:category/>
  <cp:contentStatus/>
</cp:coreProperties>
</file>