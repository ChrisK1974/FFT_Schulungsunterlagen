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0B3B29713B3B14A3BB762E77E9D7F1ADDAA2403A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Deckblatt" sheetId="1" r:id="rId1"/>
    <sheet name="Prüfprotokoll" sheetId="2" r:id="rId2"/>
    <sheet name="Ergebnis" sheetId="3" r:id="rId3"/>
  </sheets>
  <definedNames>
    <definedName name="_xlnm._FilterDatabase" localSheetId="1" hidden="1">Prüfprotokoll!$A$4:$J$90</definedName>
    <definedName name="_xlnm.Print_Titles" localSheetId="1">Prüfprotokoll!$4:$4</definedName>
  </definedName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3" l="1"/>
  <c r="C12" i="3"/>
  <c r="C11" i="3"/>
  <c r="I9" i="3"/>
  <c r="H9" i="3"/>
  <c r="G9" i="3"/>
  <c r="F9" i="3"/>
  <c r="E9" i="3"/>
  <c r="D9" i="3"/>
  <c r="C9" i="3"/>
  <c r="I8" i="3"/>
  <c r="H8" i="3"/>
  <c r="G8" i="3"/>
  <c r="F8" i="3"/>
  <c r="E8" i="3"/>
  <c r="D8" i="3"/>
  <c r="C8" i="3"/>
  <c r="I7" i="3"/>
  <c r="H7" i="3"/>
  <c r="G7" i="3"/>
  <c r="F7" i="3"/>
  <c r="E7" i="3"/>
  <c r="D7" i="3"/>
  <c r="C7" i="3"/>
  <c r="I6" i="3"/>
  <c r="H6" i="3"/>
  <c r="G6" i="3"/>
  <c r="F6" i="3"/>
  <c r="E6" i="3"/>
  <c r="D6" i="3"/>
  <c r="C6" i="3"/>
  <c r="I5" i="3"/>
  <c r="H5" i="3"/>
  <c r="G5" i="3"/>
  <c r="F5" i="3"/>
  <c r="E5" i="3"/>
  <c r="D5" i="3"/>
  <c r="C5" i="3"/>
  <c r="I90" i="2"/>
  <c r="I89" i="2"/>
  <c r="I88" i="2"/>
  <c r="I86" i="2"/>
  <c r="I84" i="2"/>
  <c r="I83" i="2"/>
  <c r="I82" i="2"/>
  <c r="I80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1" i="2"/>
  <c r="I60" i="2"/>
  <c r="I59" i="2"/>
  <c r="I58" i="2"/>
  <c r="I57" i="2"/>
  <c r="I56" i="2"/>
  <c r="I55" i="2"/>
  <c r="I54" i="2"/>
  <c r="I53" i="2"/>
  <c r="I52" i="2"/>
  <c r="I51" i="2"/>
  <c r="I49" i="2"/>
  <c r="I48" i="2"/>
  <c r="I46" i="2"/>
  <c r="I45" i="2"/>
  <c r="I44" i="2"/>
  <c r="I43" i="2"/>
  <c r="I42" i="2"/>
  <c r="I39" i="2"/>
  <c r="I37" i="2"/>
  <c r="I36" i="2"/>
  <c r="I33" i="2"/>
  <c r="I32" i="2"/>
  <c r="I31" i="2"/>
  <c r="I29" i="2"/>
  <c r="I28" i="2"/>
  <c r="I27" i="2"/>
  <c r="I25" i="2"/>
  <c r="I24" i="2"/>
  <c r="I23" i="2"/>
  <c r="I22" i="2"/>
  <c r="I21" i="2"/>
  <c r="I19" i="2"/>
  <c r="I18" i="2"/>
  <c r="I16" i="2"/>
  <c r="I15" i="2"/>
  <c r="I14" i="2"/>
  <c r="I13" i="2"/>
  <c r="I12" i="2"/>
  <c r="I11" i="2"/>
  <c r="I10" i="2"/>
  <c r="I9" i="2"/>
  <c r="I8" i="2"/>
  <c r="I7" i="2"/>
</calcChain>
</file>

<file path=xl/sharedStrings.xml><?xml version="1.0" encoding="utf-8"?>
<sst xmlns="http://schemas.openxmlformats.org/spreadsheetml/2006/main" count="343" uniqueCount="248">
  <si>
    <t>Hitachi Rail</t>
  </si>
  <si>
    <t>Interne Abnahmeprüfung (FFT) · ITC</t>
  </si>
  <si>
    <t>Prüfprotokoll Fahrstraßenoberfläche</t>
  </si>
  <si>
    <t>TIP S2 – Software Fahrstraßenoberfläche und Prüfanleitung PT1</t>
  </si>
  <si>
    <t>ESTW L90 · Domestic · DB InfraGO</t>
  </si>
  <si>
    <t>Projektdaten (gelbe Felder ausfüllen)</t>
  </si>
  <si>
    <t>Projektbezeichnung / PSP</t>
  </si>
  <si>
    <t>Stellwerk (UZ / ESTW-Z, Ril100)</t>
  </si>
  <si>
    <t>Bauzustand / AZ-Nr.</t>
  </si>
  <si>
    <t>Systemversionen (LBS, MEM, SM, EAM, AzLM)</t>
  </si>
  <si>
    <t>PT1-Stand laut PBL</t>
  </si>
  <si>
    <t>Neuanlage / Bauzustand (Differenz)</t>
  </si>
  <si>
    <t>Prüfer</t>
  </si>
  <si>
    <t>Datum</t>
  </si>
  <si>
    <t>Herkunft der Fragen</t>
  </si>
  <si>
    <t>TIP S2</t>
  </si>
  <si>
    <t>Frage aus dem TIP S2 – Software Fahrstraßenoberfläche. Zeile hellorange. Formal verbindlich; Ergebnis 1:1 ins TIP übertragen.</t>
  </si>
  <si>
    <t>PA</t>
  </si>
  <si>
    <t>Prüfanleitung: Einzelschritt (PT1-Tabelle, Prüfdokument, Simulation), mit dem eine TIP-Frage nachgewiesen wird. Aus der Schulungsunterlage, teils auf Basis historischer Arbeitsnotizen – vor Nutzung mit aktuellem Stand abgleichen.</t>
  </si>
  <si>
    <t>Bewertung</t>
  </si>
  <si>
    <t>i. O. – in Ordnung</t>
  </si>
  <si>
    <t>TIP: Ja</t>
  </si>
  <si>
    <t>Entspricht der Vorgabe (PT1, Prüfdokument, Planung).</t>
  </si>
  <si>
    <t>n. i. O. – nicht in Ordnung</t>
  </si>
  <si>
    <t>TIP: Nein</t>
  </si>
  <si>
    <t>Abweichung im Prüfbuch erfassen, Prüfbuch-Nr. in „Bemerkung“.</t>
  </si>
  <si>
    <t>n. z. – nicht zutreffend</t>
  </si>
  <si>
    <t>TIP: als n. z. kennzeichnen</t>
  </si>
  <si>
    <t>Sachverhalt kommt nicht vor; kurz begründen.</t>
  </si>
  <si>
    <t>Bedienung der Excel-Datei</t>
  </si>
  <si>
    <t>•  Je Zeile genau ein Kästchen anhaken. „Status“ zeigt offen / erledigt / n. i. O. / mehrfach!.</t>
  </si>
  <si>
    <t>•  Eine TIP-Frage erst mit i. O. bewerten, wenn alle zugehörigen PA-Schritte i. O. oder n. z. sind.</t>
  </si>
  <si>
    <t>•  Spalte „Bezug (Link)“: TIP-Frage → erster zugehöriger PA-Schritt („+n“ = weitere); PA-Schritt → TIP-Frage. ↑ = weiter oben, ↓ = weiter unten.</t>
  </si>
  <si>
    <t>•  Filter in Spalte „Herkunft“: nur TIP- oder nur PA-Zeilen anzeigen.</t>
  </si>
  <si>
    <t>•  Nachweis der PT1-Prüfung bleibt das Abhaken im PT1 (TIP-Manteldokument, Anhang A.1).</t>
  </si>
  <si>
    <t>•  Kästchen = Zellkontrollkästchen (Microsoft 365). Ältere Excel-Versionen zeigen WAHR/FALSCH; Wert dann per Eingabe ändern.</t>
  </si>
  <si>
    <t>Prüfprotokoll Fahrstraßenoberfläche – TIP S2 – Software Fahrstraßenoberfläche und Prüfanleitung</t>
  </si>
  <si>
    <t>ESTW L90 · DB InfraGO · Prüfgrundlagen: TIP S2 (Template-Ausg. 01), Schulungsunterlage Softwareprüfung ESTW L90 (Phase 5) · Projektdaten und Anleitung: Blatt „Deckblatt“</t>
  </si>
  <si>
    <t>Nr.</t>
  </si>
  <si>
    <t>Herkunft</t>
  </si>
  <si>
    <t>TIP-Nr. / PA</t>
  </si>
  <si>
    <t>Prüffrage</t>
  </si>
  <si>
    <t>Bezug (Link)</t>
  </si>
  <si>
    <t>i. O.</t>
  </si>
  <si>
    <t>n. i. O.</t>
  </si>
  <si>
    <t>n. z.</t>
  </si>
  <si>
    <t>Status</t>
  </si>
  <si>
    <t>Bemerkung / Prüfbuch-Nr.</t>
  </si>
  <si>
    <t>2  Zugstraßen</t>
  </si>
  <si>
    <t>TIP S2 – Zugstraßen</t>
  </si>
  <si>
    <t>Nr. 1</t>
  </si>
  <si>
    <t>Jede Zugstraße ist mindestens einmal einzustellen, das Startsignal mit HAGT in Halt zu stellen und die Zugstraße mit FHA aufzulösen. (Einstellen mit „S,“ in gesperrte Gleise ist nicht zusätzlich erforderlich.)</t>
  </si>
  <si>
    <t>Nr. 2</t>
  </si>
  <si>
    <t>Stimmt der Zugstraßenbefehl mit der Vorgabe in der Zugstraßentabelle überein?</t>
  </si>
  <si>
    <t>↓ PA 4</t>
  </si>
  <si>
    <t>Nr. 3</t>
  </si>
  <si>
    <t>Sind Zugstraßen in nicht überspannte Bereiche mit „F,“ projektiert?</t>
  </si>
  <si>
    <t>Nr. 4</t>
  </si>
  <si>
    <t>Werden alle nach Signaltabelle 2 geforderten Signalbegriffe kommandiert, und werden alle Zs-Signale, die nicht angeschaltet werden, dunkel kommandiert?</t>
  </si>
  <si>
    <t>↓ PA 1 (+1)</t>
  </si>
  <si>
    <t>Nr. 5</t>
  </si>
  <si>
    <t>Ist der Haltfall korrekt projektiert?</t>
  </si>
  <si>
    <t>↓ PA 3</t>
  </si>
  <si>
    <t>Nr. 6</t>
  </si>
  <si>
    <t>Ist der Flankenschutz nach Flankenschutztabelle projektiert?</t>
  </si>
  <si>
    <t>↓ PA 11 (+2)</t>
  </si>
  <si>
    <t>Nr. 7</t>
  </si>
  <si>
    <t>Ist der D-Weg nach D-Weg-Tabelle projektiert, und wird er mit Belegung des geforderten Zielgleisabschnitts automatisch aufgelöst?</t>
  </si>
  <si>
    <t>↓ PA 8 (+2)</t>
  </si>
  <si>
    <t>Nr. 8</t>
  </si>
  <si>
    <t>Ist die Aufwertung bei Durchfahrten, soweit gefordert, projektiert?</t>
  </si>
  <si>
    <t>↓ PA 2 (+1)</t>
  </si>
  <si>
    <t>Nr. 9</t>
  </si>
  <si>
    <t>Sind die Annäherungsverschlüsse nach Zugstraßentabelle projektiert? (Ohne Angaben in der Planungsunterlage gilt gemäß Ril 818.8048 mindestens 150 m vor dem Vorsignal.)</t>
  </si>
  <si>
    <t>↓ PA 5 (+2)</t>
  </si>
  <si>
    <t>Nr. 10</t>
  </si>
  <si>
    <t>Ist bei mehreren Blockabschnitten vor Einfahrsignalen der Annäherungsverschluss auch ohne Fahrstraße wirksam (falls das Vorsignal dabei im vorletzten Blockabschnitt angeordnet ist)?</t>
  </si>
  <si>
    <t>Prüfanleitung – Signaltabelle Teil 2</t>
  </si>
  <si>
    <t>PA 1</t>
  </si>
  <si>
    <t>Signaltabelle 2: Wurden je Fahrstraße alle Signale (inkl. Vor- und Geschwindigkeitsanzeiger) in SIMBA aufgeschaltet, die Fahrstraße eingestellt und die Signalbegriffe mit Signaltabelle 2 verglichen und abgehakt?</t>
  </si>
  <si>
    <t>↑ S2 Nr. 4</t>
  </si>
  <si>
    <t>PA 2</t>
  </si>
  <si>
    <t>Signaltabelle 2: Wurden Unstimmigkeiten in der rückgelesenen Fahrstraßenliste (&lt;Stw&gt;R&lt;n&gt;.FBL) bzw. ELX geklärt (FS-Nummer → Aufwertung ja/nein, Sonderaktionsblock BÜ)?</t>
  </si>
  <si>
    <t>↑ S2 Nr. 4, 8</t>
  </si>
  <si>
    <t>Prüfanleitung – Haltfall und Annäherungsverschluss</t>
  </si>
  <si>
    <t>PA 3</t>
  </si>
  <si>
    <t>Zugstraßentabelle: Haltfall (1× je Signal): Abschnitt vor dem Signal, 1. und 2. Abschnitt nach dem Signal nacheinander belegt – fällt das Signal an der geplanten Stelle in Halt? Abschnitte in derselben Reihenfolge wieder freigemeldet?</t>
  </si>
  <si>
    <t>↑ S2 Nr. 5</t>
  </si>
  <si>
    <t>PA 4</t>
  </si>
  <si>
    <t>Zugstraßentabelle: Wurden die ZL-Begriffe über die Menüführung geprüft?</t>
  </si>
  <si>
    <t>↑ S2 Nr. 2</t>
  </si>
  <si>
    <t>PA 5</t>
  </si>
  <si>
    <t>Zugstraßentabelle: Annäherungsverschluss: Zug vor dem Annäherungsabschnitt angehalten, Signal auf Halt – ist die Rücknahme ohne FHAE möglich?</t>
  </si>
  <si>
    <t>↑ S2 Nr. 9</t>
  </si>
  <si>
    <t>PA 6</t>
  </si>
  <si>
    <t>Zugstraßentabelle: Annäherungsverschluss: Zug im Annäherungsabschnitt angehalten, Signal auf Halt – ist die Rücknahme nur mit FHAE möglich? (nur Abschnitte mit FHAE-Bedienung, nicht bei Blocksignalen)</t>
  </si>
  <si>
    <t>PA 7</t>
  </si>
  <si>
    <t>Zugstraßentabelle: Wurde das Formblatt Annäherung/Anrücken (&lt;Stw&gt;IF.FBL) geprüft (0 = Bit gelöscht, T = transportiert, X = gesetzt) – inkl. Kommentare – und die Annäherungsverschlüsse in der Zugstraßentabelle vermerkt?</t>
  </si>
  <si>
    <t>Prüfanleitung – D-Weg-Tabelle</t>
  </si>
  <si>
    <t>PA 8</t>
  </si>
  <si>
    <t>D-Weg-Tabelle: Wurde die Reichweite jedes D-Wegs durch Einstellen der Fahrstraße geprüft und im PT1 abgehakt?</t>
  </si>
  <si>
    <t>↑ S2 Nr. 7</t>
  </si>
  <si>
    <t>PA 9</t>
  </si>
  <si>
    <t>D-Weg-Tabelle: D-Weg-Expansion (Zugstraßentabelle): Wird bei zulässiger Expansion mit Einstellen der Weiterfahrt der kurze D-Weg auf den längsten D-Weg expandiert und die Signalisierung entsprechend aufgewertet?</t>
  </si>
  <si>
    <t>↑ S2 Nr. 7, 8</t>
  </si>
  <si>
    <t>PA 10</t>
  </si>
  <si>
    <t>D-Weg-Tabelle: Ist bei Startsignalen mit abgestufter Geschwindigkeitssignalisierung an allen Zielsignalen keine D-Weg-Expansion projektiert?</t>
  </si>
  <si>
    <t>Prüfanleitung – Flankenschutztabelle (Fahrstraße)</t>
  </si>
  <si>
    <t>PA 11</t>
  </si>
  <si>
    <t>Flankenschutztabelle: Bei eingestellter Fahrstraße die flankenschutzgebende Weiche gestört: Fällt das Signal auf Halt und wechselt die Bezeichnung der geschützten Weiche von grün nach gelb?</t>
  </si>
  <si>
    <t>↑ S2 Nr. 6</t>
  </si>
  <si>
    <t>PA 12</t>
  </si>
  <si>
    <t>Flankenschutztabelle: Gibt ein Signal Flankenschutz: Signal gestört („dunkel“) – verliert die geschützte Weiche den Flankenschutz?</t>
  </si>
  <si>
    <t>PA 13</t>
  </si>
  <si>
    <t>Flankenschutztabelle: Führt die Belegung des überwachten Schutzraums zum Wechsel der Weichenbezeichnung von grün nach gelb?</t>
  </si>
  <si>
    <t>3  Überdrückte Zugstraßen</t>
  </si>
  <si>
    <t>TIP S2 – Überdrückte Zugstraßen</t>
  </si>
  <si>
    <t>Nr. 11</t>
  </si>
  <si>
    <t>Sind die nach Planungsunterlage geforderten überdrückten Zugstraßen projektiert, und sind sie aus den richtigen Einzelfahrstraßen zusammengesetzt?</t>
  </si>
  <si>
    <t>Nr. 12</t>
  </si>
  <si>
    <t>Jede überdrückte Zugstraße ist einmal einzustellen und danach die Ausfahrt aufzulösen. Wurde die Einfahrt mit dem längsten möglichen D-Weg projektiert?</t>
  </si>
  <si>
    <t>↓ PA 14</t>
  </si>
  <si>
    <t>Prüfanleitung – Tabelle der aneinandergereihten Zugstraßen</t>
  </si>
  <si>
    <t>PA 14</t>
  </si>
  <si>
    <t>Aneinandergereihte Zugstraßen: Durchfahrt eingestellt, Ausfahrsignal auf Halt, Ausfahrt einzeln aufgelöst: Bleibt für die Einfahrt der längste D-Weg (D1) bestehen?</t>
  </si>
  <si>
    <t>↑ S2 Nr. 12</t>
  </si>
  <si>
    <t>4  Rangierstraßen</t>
  </si>
  <si>
    <t>TIP S2 – Rangierstraßen</t>
  </si>
  <si>
    <t>Nr. 13</t>
  </si>
  <si>
    <t>Jede Rangierstraße ist mindestens einmal einzustellen, das Startsignal mit HAGT in Halt zu stellen und die Rangierstraße mit FA aufzulösen. (Einstellen mit „S,“ in gesperrte Gleise ist nicht zusätzlich erforderlich.)</t>
  </si>
  <si>
    <t>Nr. 14</t>
  </si>
  <si>
    <t>Stimmt der Rangierstraßenbefehl mit der Vorgabe in der Rangierstraßentabelle überein?</t>
  </si>
  <si>
    <t>Nr. 15</t>
  </si>
  <si>
    <t>Sind Rangierstraßen in nicht überspannte Bereiche mit „F,“ projektiert?</t>
  </si>
  <si>
    <t>↓ PA 25</t>
  </si>
  <si>
    <t>Nr. 16</t>
  </si>
  <si>
    <t>Geht das Startsignal in Fahrtstellung?</t>
  </si>
  <si>
    <t>Nr. 17</t>
  </si>
  <si>
    <t>Sind alle Vorgaben nach Rangierstraßentabelle projektiert?</t>
  </si>
  <si>
    <t>↓ PA 15 (+10)</t>
  </si>
  <si>
    <t>TIP S2 – Überdrückte Rangierstraßen</t>
  </si>
  <si>
    <t>Nr. 18</t>
  </si>
  <si>
    <t>Überdrückte Rangierstraßen werden nicht eingestellt, das Prüfen der Vorschaulinien ist ausreichend.</t>
  </si>
  <si>
    <t>Nr. 19</t>
  </si>
  <si>
    <t>Sind die nach Planungsunterlage geforderten überdrückten Rangierstraßen projektiert, und sind sie aus den richtigen Einzelfahrstraßen zusammengesetzt?</t>
  </si>
  <si>
    <t>Prüfanleitung – Zusatzangaben der Rangierstraßentabelle</t>
  </si>
  <si>
    <t>PA 15</t>
  </si>
  <si>
    <t>Rangierstraßentabelle: Art (R = Regel-, U = Umfahrrangierstraße) und Entscheidungsweichen mit Lage (l/r) wie geplant?</t>
  </si>
  <si>
    <t>↑ S2 Nr. 17</t>
  </si>
  <si>
    <t>PA 16</t>
  </si>
  <si>
    <t>Rangierstraßentabelle: Wendemöglichkeit am Signal (Rangier-/Hauptsignale der Gegenrichtung als Start für anschließende Fahrten) wie geplant?</t>
  </si>
  <si>
    <t>PA 17</t>
  </si>
  <si>
    <t>Rangierstraßentabelle: Rangierstraßen-Zielsperre (Zielsignal als weites Ziel bzw. Flankenschutz nutzbar) wie geplant?</t>
  </si>
  <si>
    <t>PA 18</t>
  </si>
  <si>
    <t>Rangierstraßentabelle: Rangierstraße ohne Zielsignal und erlaubnisabhängiges Rangierstraßenziel wie geplant?</t>
  </si>
  <si>
    <t>PA 19</t>
  </si>
  <si>
    <t>Rangierstraßentabelle: Rangierstraße mit Flankenschutz wie geplant?</t>
  </si>
  <si>
    <t>PA 20</t>
  </si>
  <si>
    <t>Rangierstraßentabelle: Ausschluss von Gegenfahrten am Inselgleis: A1 (Gegenfahrt abgewiesen, sobald 1. Achse das Inselgleis befahren hat) bzw. A2 (abgewiesen, sobald Rangierstraße eingestellt ist) wie geplant?</t>
  </si>
  <si>
    <t>PA 21</t>
  </si>
  <si>
    <t>Rangierstraßentabelle: Punktförmige Gleisfreimeldeprüfung erforderlich – wie geplant?</t>
  </si>
  <si>
    <t>PA 22</t>
  </si>
  <si>
    <t>Rangierstraßentabelle: Abhängigkeiten zu einer BÜ-Anlage wie geplant?</t>
  </si>
  <si>
    <t>PA 23</t>
  </si>
  <si>
    <t>Rangierstraßentabelle: Durchlaufende Restrangierstraßenauflösung (auch über das erste Zwischenziel hinaus) wie geplant?</t>
  </si>
  <si>
    <t>PA 24</t>
  </si>
  <si>
    <t>Rangierstraßentabelle: Verzicht auf Zielgleisfreiprüfung wie geplant?</t>
  </si>
  <si>
    <t>PA 25</t>
  </si>
  <si>
    <t>Rangierstraßentabelle: Rangierstraße in nicht überspannten Bereich bzw. Ssp in der Rangierstraße verschlossen und überwacht – wie geplant?</t>
  </si>
  <si>
    <t>↑ S2 Nr. 15, 17</t>
  </si>
  <si>
    <t>5  Weitere Prüfungen</t>
  </si>
  <si>
    <t>TIP S2 – Weitere Prüfungen</t>
  </si>
  <si>
    <t>Nr. 20</t>
  </si>
  <si>
    <t>Stimmen die projektierten D-Weg-Auflösezeiten mit der D-Weg-Tabelle überein?</t>
  </si>
  <si>
    <t>↓ PA 26</t>
  </si>
  <si>
    <t>Nr. 21</t>
  </si>
  <si>
    <t>Ist für alle flankenschutzgebenden Weichen eine Flankenschutzersatzfahrstraße projektiert?</t>
  </si>
  <si>
    <t>Nr. 22</t>
  </si>
  <si>
    <t>Falls zwischen Vorsignal und Hauptsignal mehrere Vorsignalwiederholer angeordnet sind: Ist die Reihenfolge korrekt projektiert?</t>
  </si>
  <si>
    <t>Nr. 23</t>
  </si>
  <si>
    <t>Bei ETCS/LZB: Stimmen die D-Weg-Längen im Fahrstraßenkopf der rückgelesenen Fahrstraßenliste mit der Planungsunterlage überein (vgl. PV 3CR 01783 1926 PQAFC, Kapitel 3.1.2)?</t>
  </si>
  <si>
    <t>Nr. 24</t>
  </si>
  <si>
    <t>Falls eine spitze Weiche &lt; 50 m hinter dem Zielsignal liegt: Ist der korrekte Beanspruchungsfall gemäß PV 3CR 01783 1239 PQAFC, Kapitel 2 projektiert?</t>
  </si>
  <si>
    <t>Nr. 25</t>
  </si>
  <si>
    <t>Ist für alle Signale eine Ersatzsignalfahrstraße projektiert? Ausnahme: Startsignale von Fahrstraßen mit Fü-Wirksamschaltung (Schaltfall 2 oder Schaltfall 12).</t>
  </si>
  <si>
    <t>Nr. 26</t>
  </si>
  <si>
    <t>Ist für Startsignale von Fahrstraßen mit Fü-Wirksamschaltung (Schaltfall 2 oder Schaltfall 12) kein VE2-/EE2-Befehl und keine Ersatzsignalfahrstraße projektiert?</t>
  </si>
  <si>
    <t>Nr. 27</t>
  </si>
  <si>
    <t>Falls KM-Gruppe Wirksamschaltung Fü-Kontakte projektiert ist: Wird das nach Sonderschaltung projektierte Kommando ausgegeben?</t>
  </si>
  <si>
    <t>Nr. 28</t>
  </si>
  <si>
    <t>Wird das Grundstellungskommando erst mit Freifahren des Abschnitts, auf dem die Einschaltschleife liegt, kommandiert?</t>
  </si>
  <si>
    <t>Nr. 29</t>
  </si>
  <si>
    <t>Ist bei Wirksamschaltung von BÜ-LO- oder EBÜT-vB-ÜS-Anlagen bei der zugehörigen KM der Beanspruchungsfall 8 / P / 1 projektiert?</t>
  </si>
  <si>
    <t>Nr. 30</t>
  </si>
  <si>
    <t>Falls alleinstehende Vorsignale, Vorsignalwiederholer oder Zusatzanzeiger innerhalb des Bahnhofes projektiert sind: Wird der Signalbegriff erst mit Freifahren des folgenden Gleisabschnittes gelöscht?</t>
  </si>
  <si>
    <t>↓ PA 30</t>
  </si>
  <si>
    <t>Nr. 31</t>
  </si>
  <si>
    <t>Ist die BÜ-Einschaltung nach den BÜ-Tabellen projektiert, und wirken die nach Sonderschaltung angeschalteten Melderelais korrekt auf die BÜ-Einschaltung?</t>
  </si>
  <si>
    <t>Nr. 32</t>
  </si>
  <si>
    <t>Falls logische Schlüsselsperren projektiert sind: Ist der richtige Beanspruchungsfall projektiert? Kommt es bei parallel stattfindenden Fahrten zu Signalhaltfällen?</t>
  </si>
  <si>
    <t>↓ PA 31 (+2)</t>
  </si>
  <si>
    <t>Nr. 33</t>
  </si>
  <si>
    <t>Bei neuer ZB-Verbindung: Ist im Fahrstraßenkopf bei Blockfahrstraßen die Fahrtrichtung am Start korrekt projektiert?</t>
  </si>
  <si>
    <t>Nr. 34</t>
  </si>
  <si>
    <t>Wurde am Übergang zwischen zwei Abschnitten mit unterschiedlicher Freimeldeart (z. B. AzLM und AzL90M-3) in der jeweiligen rückgelesenen Fahrstraßenliste bei den beiden betroffenen Gleisabschnitten die verlängerte Toleranzzeit (Parameter VT = „V“) projektiert?</t>
  </si>
  <si>
    <t>Prüfanleitung – D-Weg-Auflösezeiten</t>
  </si>
  <si>
    <t>PA 26</t>
  </si>
  <si>
    <t>D-Weg-Tabelle: Wurde das Prüfdokument „projektierte D-Weg-Auflösezeiten“ ausgedruckt, mit der D-Weg-Tabelle verglichen, abgehakt und im Prüfordner abgelegt?</t>
  </si>
  <si>
    <t>↑ S2 Nr. 20</t>
  </si>
  <si>
    <t>Prüfanleitung – Hilfsfahrstraßen und Mittelweichen</t>
  </si>
  <si>
    <t>PA 27</t>
  </si>
  <si>
    <t>Hilfsfahrstraße: Sind Hilfsfahrstraßen in der rückgelesenen Fahrstraßenliste mit Signalbegriff „kein Begriff“ projektiert?</t>
  </si>
  <si>
    <t>PA 28</t>
  </si>
  <si>
    <t>Mittelweichentabelle: MW-Teilfahrstraße und Ausfahrt eingestellt: Zeigt der Geschwindigkeitsanzeiger in SIMBA den geplanten Begriff?</t>
  </si>
  <si>
    <t>PA 29</t>
  </si>
  <si>
    <t>Mittelweichentabelle: Stimmen die Weichengeschwindigkeiten mit der Weichentabelle und die Angabe „VS MW-Abw“ in der rückgelesenen Fahrstraßenliste mit der Planung überein?</t>
  </si>
  <si>
    <t>Prüfanleitung – Alleinstehende Vorsignale / Zs-Anzeiger</t>
  </si>
  <si>
    <t>PA 30</t>
  </si>
  <si>
    <t>Signallageplan: Fallen alleinstehende Vorsignale und Zs-Anzeiger nicht zu früh in Halt (Abgleich mit dem Signallageplan)?</t>
  </si>
  <si>
    <t>↑ S2 Nr. 30</t>
  </si>
  <si>
    <t>Prüfanleitung – Schlüsselsperren / Anschlussstellen (AWANST)</t>
  </si>
  <si>
    <t>PA 31</t>
  </si>
  <si>
    <t>AWANST: Einfahrt in AWANST: KGE (blinkt grün) → Fahrstraße (Verschluss) → SK befahren (Ruhelicht) → Anforderungstaste (blinkt gelb) → SLE (blinkt rot) → Schlüssel entnehmen (Ruhelicht rot) → SK frei → Gleis frei, Schlüssel überwacht → Fertigtaste (Ruhelicht weiß): Löst die Fahrstraße auf?</t>
  </si>
  <si>
    <t>↑ S2 Nr. 32</t>
  </si>
  <si>
    <t>PA 32</t>
  </si>
  <si>
    <t>AWANST: Ausfahrt aus AWANST: Anforderungstaste → Fahrstraße → SLE → Schlüssel entnehmen → SK befahren/frei → Schlüssel überwacht → Fertigmeldung: Löst die Fahrstraße auf?</t>
  </si>
  <si>
    <t>PA 33</t>
  </si>
  <si>
    <t>AWANST: Wurde die Bedienung von beiden Nachbarbetriebsstellen (inkl. ggf. Sperren/Entsperren des Blocksignals) geprüft?</t>
  </si>
  <si>
    <t>Ergebnis – Prüfprotokoll Fahrstraßenoberfläche</t>
  </si>
  <si>
    <t>Abschnitt</t>
  </si>
  <si>
    <t>offen</t>
  </si>
  <si>
    <t>mehrfach</t>
  </si>
  <si>
    <t>Summe</t>
  </si>
  <si>
    <t>Davon TIP S2 – n. i. O.</t>
  </si>
  <si>
    <t>Davon PA – n. i. O.</t>
  </si>
  <si>
    <t>Gesamtergebnis</t>
  </si>
  <si>
    <t>TIP S2 – Software Fahrstraßenoberfläche – alle Prüfschritte durchgeführt</t>
  </si>
  <si>
    <t>Übertrag der Abweichungen ins Prüfbuch</t>
  </si>
  <si>
    <t>Kurzbeschreibung</t>
  </si>
  <si>
    <t>Frage-Nr.</t>
  </si>
  <si>
    <t>Prüfbuch-Nr.</t>
  </si>
  <si>
    <t>Element</t>
  </si>
  <si>
    <t>Erledigt</t>
  </si>
  <si>
    <t>Unterschriften</t>
  </si>
  <si>
    <t>Freigebender</t>
  </si>
  <si>
    <t>Name (Druckbuchstaben)</t>
  </si>
  <si>
    <t>Firma (falls extern)</t>
  </si>
  <si>
    <t>Unterschrift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</si>
</sst>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2"/>
      <color rgb="FF2E75B6"/>
      <name val="Arial"/>
      <family val="2"/>
    </font>
    <font>
      <sz val="9"/>
      <color rgb="FF595959"/>
      <name val="Arial"/>
      <family val="2"/>
    </font>
    <font>
      <b/>
      <sz val="20"/>
      <color rgb="FF1F3864"/>
      <name val="Arial"/>
      <family val="2"/>
    </font>
    <font>
      <sz val="11"/>
      <color rgb="FF2E75B6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6"/>
      <color rgb="FF1F3864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u/>
      <sz val="9"/>
      <color rgb="FF0563C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DF1E7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 applyAlignment="1">
      <alignment vertical="top"/>
    </xf>
    <xf numFmtId="0" fontId="7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9" fillId="8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Standard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34"/>
  <sheetViews>
    <sheetView tabSelected="1" workbookViewId="0"/>
  </sheetViews>
  <sheetFormatPr defaultRowHeight="15"/>
  <cols>
    <col min="1" max="1" width="3.7109375" customWidth="1"/>
    <col min="2" max="2" width="34.7109375" customWidth="1"/>
    <col min="3" max="3" width="22.7109375" customWidth="1"/>
    <col min="4" max="4" width="70.7109375" customWidth="1"/>
  </cols>
  <sheetData>
    <row r="2" spans="2:4">
      <c r="B2" s="1" t="s">
        <v>0</v>
      </c>
    </row>
    <row r="3" spans="2:4">
      <c r="B3" s="2" t="s">
        <v>1</v>
      </c>
    </row>
    <row r="5" spans="2:4">
      <c r="B5" s="3" t="s">
        <v>2</v>
      </c>
    </row>
    <row r="6" spans="2:4">
      <c r="B6" s="4" t="s">
        <v>3</v>
      </c>
    </row>
    <row r="7" spans="2:4">
      <c r="B7" s="2" t="s">
        <v>4</v>
      </c>
    </row>
    <row r="9" spans="2:4">
      <c r="B9" s="23" t="s">
        <v>5</v>
      </c>
      <c r="C9" s="23"/>
      <c r="D9" s="23"/>
    </row>
    <row r="10" spans="2:4">
      <c r="B10" s="6" t="s">
        <v>6</v>
      </c>
      <c r="C10" s="24"/>
      <c r="D10" s="24"/>
    </row>
    <row r="11" spans="2:4">
      <c r="B11" s="6" t="s">
        <v>7</v>
      </c>
      <c r="C11" s="24"/>
      <c r="D11" s="24"/>
    </row>
    <row r="12" spans="2:4">
      <c r="B12" s="6" t="s">
        <v>8</v>
      </c>
      <c r="C12" s="24"/>
      <c r="D12" s="24"/>
    </row>
    <row r="13" spans="2:4">
      <c r="B13" s="6" t="s">
        <v>9</v>
      </c>
      <c r="C13" s="24"/>
      <c r="D13" s="24"/>
    </row>
    <row r="14" spans="2:4">
      <c r="B14" s="6" t="s">
        <v>10</v>
      </c>
      <c r="C14" s="24"/>
      <c r="D14" s="24"/>
    </row>
    <row r="15" spans="2:4">
      <c r="B15" s="6" t="s">
        <v>11</v>
      </c>
      <c r="C15" s="24"/>
      <c r="D15" s="24"/>
    </row>
    <row r="16" spans="2:4">
      <c r="B16" s="6" t="s">
        <v>12</v>
      </c>
      <c r="C16" s="24"/>
      <c r="D16" s="24"/>
    </row>
    <row r="17" spans="2:4">
      <c r="B17" s="6" t="s">
        <v>13</v>
      </c>
      <c r="C17" s="24"/>
      <c r="D17" s="24"/>
    </row>
    <row r="19" spans="2:4">
      <c r="B19" s="23" t="s">
        <v>14</v>
      </c>
      <c r="C19" s="23"/>
      <c r="D19" s="23"/>
    </row>
    <row r="20" spans="2:4" ht="26.1" customHeight="1">
      <c r="B20" s="7" t="s">
        <v>15</v>
      </c>
      <c r="C20" s="25" t="s">
        <v>16</v>
      </c>
      <c r="D20" s="25"/>
    </row>
    <row r="21" spans="2:4" ht="38.1" customHeight="1">
      <c r="B21" s="9" t="s">
        <v>17</v>
      </c>
      <c r="C21" s="26" t="s">
        <v>18</v>
      </c>
      <c r="D21" s="26"/>
    </row>
    <row r="23" spans="2:4">
      <c r="B23" s="23" t="s">
        <v>19</v>
      </c>
      <c r="C23" s="23"/>
      <c r="D23" s="23"/>
    </row>
    <row r="24" spans="2:4">
      <c r="B24" s="6" t="s">
        <v>20</v>
      </c>
      <c r="C24" s="10" t="s">
        <v>21</v>
      </c>
      <c r="D24" s="10" t="s">
        <v>22</v>
      </c>
    </row>
    <row r="25" spans="2:4">
      <c r="B25" s="6" t="s">
        <v>23</v>
      </c>
      <c r="C25" s="10" t="s">
        <v>24</v>
      </c>
      <c r="D25" s="10" t="s">
        <v>25</v>
      </c>
    </row>
    <row r="26" spans="2:4">
      <c r="B26" s="6" t="s">
        <v>26</v>
      </c>
      <c r="C26" s="10" t="s">
        <v>27</v>
      </c>
      <c r="D26" s="10" t="s">
        <v>28</v>
      </c>
    </row>
    <row r="28" spans="2:4">
      <c r="B28" s="23" t="s">
        <v>29</v>
      </c>
      <c r="C28" s="23"/>
      <c r="D28" s="23"/>
    </row>
    <row r="29" spans="2:4" ht="26.1" customHeight="1">
      <c r="B29" s="26" t="s">
        <v>30</v>
      </c>
      <c r="C29" s="26"/>
      <c r="D29" s="26"/>
    </row>
    <row r="30" spans="2:4" ht="26.1" customHeight="1">
      <c r="B30" s="26" t="s">
        <v>31</v>
      </c>
      <c r="C30" s="26"/>
      <c r="D30" s="26"/>
    </row>
    <row r="31" spans="2:4" ht="26.1" customHeight="1">
      <c r="B31" s="26" t="s">
        <v>32</v>
      </c>
      <c r="C31" s="26"/>
      <c r="D31" s="26"/>
    </row>
    <row r="32" spans="2:4" ht="26.1" customHeight="1">
      <c r="B32" s="26" t="s">
        <v>33</v>
      </c>
      <c r="C32" s="26"/>
      <c r="D32" s="26"/>
    </row>
    <row r="33" spans="2:4" ht="26.1" customHeight="1">
      <c r="B33" s="26" t="s">
        <v>34</v>
      </c>
      <c r="C33" s="26"/>
      <c r="D33" s="26"/>
    </row>
    <row r="34" spans="2:4" ht="26.1" customHeight="1">
      <c r="B34" s="26" t="s">
        <v>35</v>
      </c>
      <c r="C34" s="26"/>
      <c r="D34" s="26"/>
    </row>
  </sheetData>
  <mergeCells count="20">
    <mergeCell ref="B30:D30"/>
    <mergeCell ref="B31:D31"/>
    <mergeCell ref="B32:D32"/>
    <mergeCell ref="B33:D33"/>
    <mergeCell ref="B34:D34"/>
    <mergeCell ref="C20:D20"/>
    <mergeCell ref="C21:D21"/>
    <mergeCell ref="B23:D23"/>
    <mergeCell ref="B28:D28"/>
    <mergeCell ref="B29:D29"/>
    <mergeCell ref="C14:D14"/>
    <mergeCell ref="C15:D15"/>
    <mergeCell ref="C16:D16"/>
    <mergeCell ref="C17:D17"/>
    <mergeCell ref="B19:D19"/>
    <mergeCell ref="B9:D9"/>
    <mergeCell ref="C10:D10"/>
    <mergeCell ref="C11:D11"/>
    <mergeCell ref="C12:D12"/>
    <mergeCell ref="C13:D13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9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9.7109375" customWidth="1"/>
    <col min="3" max="3" width="10.7109375" customWidth="1"/>
    <col min="4" max="4" width="70.7109375" customWidth="1"/>
    <col min="5" max="5" width="15.7109375" customWidth="1"/>
    <col min="6" max="8" width="7.28515625" customWidth="1"/>
    <col min="9" max="9" width="11.7109375" customWidth="1"/>
    <col min="10" max="10" width="34.7109375" customWidth="1"/>
  </cols>
  <sheetData>
    <row r="1" spans="1:10">
      <c r="A1" s="11" t="s">
        <v>36</v>
      </c>
    </row>
    <row r="2" spans="1:10">
      <c r="A2" s="2" t="s">
        <v>37</v>
      </c>
    </row>
    <row r="4" spans="1:10" ht="30" customHeight="1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</row>
    <row r="5" spans="1:10" ht="20.100000000000001" customHeight="1">
      <c r="A5" s="27" t="s">
        <v>48</v>
      </c>
      <c r="B5" s="27"/>
      <c r="C5" s="27"/>
      <c r="D5" s="27"/>
      <c r="E5" s="27"/>
      <c r="F5" s="27"/>
      <c r="G5" s="27"/>
      <c r="H5" s="27"/>
      <c r="I5" s="27"/>
      <c r="J5" s="27"/>
    </row>
    <row r="6" spans="1:10">
      <c r="A6" s="28" t="s">
        <v>49</v>
      </c>
      <c r="B6" s="28"/>
      <c r="C6" s="28"/>
      <c r="D6" s="28"/>
      <c r="E6" s="28"/>
      <c r="F6" s="28"/>
      <c r="G6" s="28"/>
      <c r="H6" s="28"/>
      <c r="I6" s="28"/>
      <c r="J6" s="28"/>
    </row>
    <row r="7" spans="1:10" ht="40.5" customHeight="1">
      <c r="A7" s="12">
        <v>1</v>
      </c>
      <c r="B7" s="7" t="s">
        <v>15</v>
      </c>
      <c r="C7" s="12" t="s">
        <v>50</v>
      </c>
      <c r="D7" s="8" t="s">
        <v>51</v>
      </c>
      <c r="E7" s="8"/>
      <c r="F7" s="13" t="b">
        <v>0</v>
      </c>
      <c r="G7" s="13" t="b">
        <v>0</v>
      </c>
      <c r="H7" s="13" t="b">
        <v>0</v>
      </c>
      <c r="I7" s="14" t="str">
        <f>IF(COUNTIF(F7:H7,TRUE)=0,"offen",IF(COUNTIF(F7:H7,TRUE)&gt;1,"mehrfach!",IF(G7=TRUE,"n. i. O.","erledigt")))</f>
        <v>offen</v>
      </c>
      <c r="J7" s="8"/>
    </row>
    <row r="8" spans="1:10" ht="15.6" customHeight="1">
      <c r="A8" s="12">
        <v>2</v>
      </c>
      <c r="B8" s="7" t="s">
        <v>15</v>
      </c>
      <c r="C8" s="12" t="s">
        <v>52</v>
      </c>
      <c r="D8" s="8" t="s">
        <v>53</v>
      </c>
      <c r="E8" s="15" t="s">
        <v>54</v>
      </c>
      <c r="F8" s="13" t="b">
        <v>0</v>
      </c>
      <c r="G8" s="13" t="b">
        <v>0</v>
      </c>
      <c r="H8" s="13" t="b">
        <v>0</v>
      </c>
      <c r="I8" s="14" t="str">
        <f>IF(COUNTIF(F8:H8,TRUE)=0,"offen",IF(COUNTIF(F8:H8,TRUE)&gt;1,"mehrfach!",IF(G8=TRUE,"n. i. O.","erledigt")))</f>
        <v>offen</v>
      </c>
      <c r="J8" s="8"/>
    </row>
    <row r="9" spans="1:10" ht="15.6" customHeight="1">
      <c r="A9" s="12">
        <v>3</v>
      </c>
      <c r="B9" s="7" t="s">
        <v>15</v>
      </c>
      <c r="C9" s="12" t="s">
        <v>55</v>
      </c>
      <c r="D9" s="8" t="s">
        <v>56</v>
      </c>
      <c r="E9" s="8"/>
      <c r="F9" s="13" t="b">
        <v>0</v>
      </c>
      <c r="G9" s="13" t="b">
        <v>0</v>
      </c>
      <c r="H9" s="13" t="b">
        <v>0</v>
      </c>
      <c r="I9" s="14" t="str">
        <f>IF(COUNTIF(F9:H9,TRUE)=0,"offen",IF(COUNTIF(F9:H9,TRUE)&gt;1,"mehrfach!",IF(G9=TRUE,"n. i. O.","erledigt")))</f>
        <v>offen</v>
      </c>
      <c r="J9" s="8"/>
    </row>
    <row r="10" spans="1:10" ht="27.95" customHeight="1">
      <c r="A10" s="12">
        <v>4</v>
      </c>
      <c r="B10" s="7" t="s">
        <v>15</v>
      </c>
      <c r="C10" s="12" t="s">
        <v>57</v>
      </c>
      <c r="D10" s="8" t="s">
        <v>58</v>
      </c>
      <c r="E10" s="15" t="s">
        <v>59</v>
      </c>
      <c r="F10" s="13" t="b">
        <v>0</v>
      </c>
      <c r="G10" s="13" t="b">
        <v>0</v>
      </c>
      <c r="H10" s="13" t="b">
        <v>0</v>
      </c>
      <c r="I10" s="14" t="str">
        <f>IF(COUNTIF(F10:H10,TRUE)=0,"offen",IF(COUNTIF(F10:H10,TRUE)&gt;1,"mehrfach!",IF(G10=TRUE,"n. i. O.","erledigt")))</f>
        <v>offen</v>
      </c>
      <c r="J10" s="8"/>
    </row>
    <row r="11" spans="1:10" ht="15.6" customHeight="1">
      <c r="A11" s="12">
        <v>5</v>
      </c>
      <c r="B11" s="7" t="s">
        <v>15</v>
      </c>
      <c r="C11" s="12" t="s">
        <v>60</v>
      </c>
      <c r="D11" s="8" t="s">
        <v>61</v>
      </c>
      <c r="E11" s="15" t="s">
        <v>62</v>
      </c>
      <c r="F11" s="13" t="b">
        <v>0</v>
      </c>
      <c r="G11" s="13" t="b">
        <v>0</v>
      </c>
      <c r="H11" s="13" t="b">
        <v>0</v>
      </c>
      <c r="I11" s="14" t="str">
        <f>IF(COUNTIF(F11:H11,TRUE)=0,"offen",IF(COUNTIF(F11:H11,TRUE)&gt;1,"mehrfach!",IF(G11=TRUE,"n. i. O.","erledigt")))</f>
        <v>offen</v>
      </c>
      <c r="J11" s="8"/>
    </row>
    <row r="12" spans="1:10" ht="15.6" customHeight="1">
      <c r="A12" s="12">
        <v>6</v>
      </c>
      <c r="B12" s="7" t="s">
        <v>15</v>
      </c>
      <c r="C12" s="12" t="s">
        <v>63</v>
      </c>
      <c r="D12" s="8" t="s">
        <v>64</v>
      </c>
      <c r="E12" s="15" t="s">
        <v>65</v>
      </c>
      <c r="F12" s="13" t="b">
        <v>0</v>
      </c>
      <c r="G12" s="13" t="b">
        <v>0</v>
      </c>
      <c r="H12" s="13" t="b">
        <v>0</v>
      </c>
      <c r="I12" s="14" t="str">
        <f>IF(COUNTIF(F12:H12,TRUE)=0,"offen",IF(COUNTIF(F12:H12,TRUE)&gt;1,"mehrfach!",IF(G12=TRUE,"n. i. O.","erledigt")))</f>
        <v>offen</v>
      </c>
      <c r="J12" s="8"/>
    </row>
    <row r="13" spans="1:10" ht="27.95" customHeight="1">
      <c r="A13" s="12">
        <v>7</v>
      </c>
      <c r="B13" s="7" t="s">
        <v>15</v>
      </c>
      <c r="C13" s="12" t="s">
        <v>66</v>
      </c>
      <c r="D13" s="8" t="s">
        <v>67</v>
      </c>
      <c r="E13" s="15" t="s">
        <v>68</v>
      </c>
      <c r="F13" s="13" t="b">
        <v>0</v>
      </c>
      <c r="G13" s="13" t="b">
        <v>0</v>
      </c>
      <c r="H13" s="13" t="b">
        <v>0</v>
      </c>
      <c r="I13" s="14" t="str">
        <f>IF(COUNTIF(F13:H13,TRUE)=0,"offen",IF(COUNTIF(F13:H13,TRUE)&gt;1,"mehrfach!",IF(G13=TRUE,"n. i. O.","erledigt")))</f>
        <v>offen</v>
      </c>
      <c r="J13" s="8"/>
    </row>
    <row r="14" spans="1:10" ht="15.6" customHeight="1">
      <c r="A14" s="12">
        <v>8</v>
      </c>
      <c r="B14" s="7" t="s">
        <v>15</v>
      </c>
      <c r="C14" s="12" t="s">
        <v>69</v>
      </c>
      <c r="D14" s="8" t="s">
        <v>70</v>
      </c>
      <c r="E14" s="15" t="s">
        <v>71</v>
      </c>
      <c r="F14" s="13" t="b">
        <v>0</v>
      </c>
      <c r="G14" s="13" t="b">
        <v>0</v>
      </c>
      <c r="H14" s="13" t="b">
        <v>0</v>
      </c>
      <c r="I14" s="14" t="str">
        <f>IF(COUNTIF(F14:H14,TRUE)=0,"offen",IF(COUNTIF(F14:H14,TRUE)&gt;1,"mehrfach!",IF(G14=TRUE,"n. i. O.","erledigt")))</f>
        <v>offen</v>
      </c>
      <c r="J14" s="8"/>
    </row>
    <row r="15" spans="1:10" ht="27.95" customHeight="1">
      <c r="A15" s="12">
        <v>9</v>
      </c>
      <c r="B15" s="7" t="s">
        <v>15</v>
      </c>
      <c r="C15" s="12" t="s">
        <v>72</v>
      </c>
      <c r="D15" s="8" t="s">
        <v>73</v>
      </c>
      <c r="E15" s="15" t="s">
        <v>74</v>
      </c>
      <c r="F15" s="13" t="b">
        <v>0</v>
      </c>
      <c r="G15" s="13" t="b">
        <v>0</v>
      </c>
      <c r="H15" s="13" t="b">
        <v>0</v>
      </c>
      <c r="I15" s="14" t="str">
        <f>IF(COUNTIF(F15:H15,TRUE)=0,"offen",IF(COUNTIF(F15:H15,TRUE)&gt;1,"mehrfach!",IF(G15=TRUE,"n. i. O.","erledigt")))</f>
        <v>offen</v>
      </c>
      <c r="J15" s="8"/>
    </row>
    <row r="16" spans="1:10" ht="27.95" customHeight="1">
      <c r="A16" s="12">
        <v>10</v>
      </c>
      <c r="B16" s="7" t="s">
        <v>15</v>
      </c>
      <c r="C16" s="12" t="s">
        <v>75</v>
      </c>
      <c r="D16" s="8" t="s">
        <v>76</v>
      </c>
      <c r="E16" s="8"/>
      <c r="F16" s="13" t="b">
        <v>0</v>
      </c>
      <c r="G16" s="13" t="b">
        <v>0</v>
      </c>
      <c r="H16" s="13" t="b">
        <v>0</v>
      </c>
      <c r="I16" s="14" t="str">
        <f>IF(COUNTIF(F16:H16,TRUE)=0,"offen",IF(COUNTIF(F16:H16,TRUE)&gt;1,"mehrfach!",IF(G16=TRUE,"n. i. O.","erledigt")))</f>
        <v>offen</v>
      </c>
      <c r="J16" s="8"/>
    </row>
    <row r="17" spans="1:10">
      <c r="A17" s="29" t="s">
        <v>77</v>
      </c>
      <c r="B17" s="29"/>
      <c r="C17" s="29"/>
      <c r="D17" s="29"/>
      <c r="E17" s="29"/>
      <c r="F17" s="29"/>
      <c r="G17" s="29"/>
      <c r="H17" s="29"/>
      <c r="I17" s="29"/>
      <c r="J17" s="29"/>
    </row>
    <row r="18" spans="1:10" ht="40.5" customHeight="1">
      <c r="A18" s="16">
        <v>11</v>
      </c>
      <c r="B18" s="9" t="s">
        <v>17</v>
      </c>
      <c r="C18" s="16" t="s">
        <v>78</v>
      </c>
      <c r="D18" s="10" t="s">
        <v>79</v>
      </c>
      <c r="E18" s="17" t="s">
        <v>80</v>
      </c>
      <c r="F18" s="18" t="b">
        <v>0</v>
      </c>
      <c r="G18" s="18" t="b">
        <v>0</v>
      </c>
      <c r="H18" s="18" t="b">
        <v>0</v>
      </c>
      <c r="I18" s="19" t="str">
        <f>IF(COUNTIF(F18:H18,TRUE)=0,"offen",IF(COUNTIF(F18:H18,TRUE)&gt;1,"mehrfach!",IF(G18=TRUE,"n. i. O.","erledigt")))</f>
        <v>offen</v>
      </c>
      <c r="J18" s="10"/>
    </row>
    <row r="19" spans="1:10" ht="27.95" customHeight="1">
      <c r="A19" s="16">
        <v>12</v>
      </c>
      <c r="B19" s="9" t="s">
        <v>17</v>
      </c>
      <c r="C19" s="16" t="s">
        <v>81</v>
      </c>
      <c r="D19" s="10" t="s">
        <v>82</v>
      </c>
      <c r="E19" s="17" t="s">
        <v>83</v>
      </c>
      <c r="F19" s="18" t="b">
        <v>0</v>
      </c>
      <c r="G19" s="18" t="b">
        <v>0</v>
      </c>
      <c r="H19" s="18" t="b">
        <v>0</v>
      </c>
      <c r="I19" s="19" t="str">
        <f>IF(COUNTIF(F19:H19,TRUE)=0,"offen",IF(COUNTIF(F19:H19,TRUE)&gt;1,"mehrfach!",IF(G19=TRUE,"n. i. O.","erledigt")))</f>
        <v>offen</v>
      </c>
      <c r="J19" s="10"/>
    </row>
    <row r="20" spans="1:10">
      <c r="A20" s="29" t="s">
        <v>84</v>
      </c>
      <c r="B20" s="29"/>
      <c r="C20" s="29"/>
      <c r="D20" s="29"/>
      <c r="E20" s="29"/>
      <c r="F20" s="29"/>
      <c r="G20" s="29"/>
      <c r="H20" s="29"/>
      <c r="I20" s="29"/>
      <c r="J20" s="29"/>
    </row>
    <row r="21" spans="1:10" ht="40.5" customHeight="1">
      <c r="A21" s="16">
        <v>13</v>
      </c>
      <c r="B21" s="9" t="s">
        <v>17</v>
      </c>
      <c r="C21" s="16" t="s">
        <v>85</v>
      </c>
      <c r="D21" s="10" t="s">
        <v>86</v>
      </c>
      <c r="E21" s="17" t="s">
        <v>87</v>
      </c>
      <c r="F21" s="18" t="b">
        <v>0</v>
      </c>
      <c r="G21" s="18" t="b">
        <v>0</v>
      </c>
      <c r="H21" s="18" t="b">
        <v>0</v>
      </c>
      <c r="I21" s="19" t="str">
        <f>IF(COUNTIF(F21:H21,TRUE)=0,"offen",IF(COUNTIF(F21:H21,TRUE)&gt;1,"mehrfach!",IF(G21=TRUE,"n. i. O.","erledigt")))</f>
        <v>offen</v>
      </c>
      <c r="J21" s="10"/>
    </row>
    <row r="22" spans="1:10" ht="15.6" customHeight="1">
      <c r="A22" s="16">
        <v>14</v>
      </c>
      <c r="B22" s="9" t="s">
        <v>17</v>
      </c>
      <c r="C22" s="16" t="s">
        <v>88</v>
      </c>
      <c r="D22" s="10" t="s">
        <v>89</v>
      </c>
      <c r="E22" s="17" t="s">
        <v>90</v>
      </c>
      <c r="F22" s="18" t="b">
        <v>0</v>
      </c>
      <c r="G22" s="18" t="b">
        <v>0</v>
      </c>
      <c r="H22" s="18" t="b">
        <v>0</v>
      </c>
      <c r="I22" s="19" t="str">
        <f>IF(COUNTIF(F22:H22,TRUE)=0,"offen",IF(COUNTIF(F22:H22,TRUE)&gt;1,"mehrfach!",IF(G22=TRUE,"n. i. O.","erledigt")))</f>
        <v>offen</v>
      </c>
      <c r="J22" s="10"/>
    </row>
    <row r="23" spans="1:10" ht="27.95" customHeight="1">
      <c r="A23" s="16">
        <v>15</v>
      </c>
      <c r="B23" s="9" t="s">
        <v>17</v>
      </c>
      <c r="C23" s="16" t="s">
        <v>91</v>
      </c>
      <c r="D23" s="10" t="s">
        <v>92</v>
      </c>
      <c r="E23" s="17" t="s">
        <v>93</v>
      </c>
      <c r="F23" s="18" t="b">
        <v>0</v>
      </c>
      <c r="G23" s="18" t="b">
        <v>0</v>
      </c>
      <c r="H23" s="18" t="b">
        <v>0</v>
      </c>
      <c r="I23" s="19" t="str">
        <f>IF(COUNTIF(F23:H23,TRUE)=0,"offen",IF(COUNTIF(F23:H23,TRUE)&gt;1,"mehrfach!",IF(G23=TRUE,"n. i. O.","erledigt")))</f>
        <v>offen</v>
      </c>
      <c r="J23" s="10"/>
    </row>
    <row r="24" spans="1:10" ht="40.5" customHeight="1">
      <c r="A24" s="16">
        <v>16</v>
      </c>
      <c r="B24" s="9" t="s">
        <v>17</v>
      </c>
      <c r="C24" s="16" t="s">
        <v>94</v>
      </c>
      <c r="D24" s="10" t="s">
        <v>95</v>
      </c>
      <c r="E24" s="17" t="s">
        <v>93</v>
      </c>
      <c r="F24" s="18" t="b">
        <v>0</v>
      </c>
      <c r="G24" s="18" t="b">
        <v>0</v>
      </c>
      <c r="H24" s="18" t="b">
        <v>0</v>
      </c>
      <c r="I24" s="19" t="str">
        <f>IF(COUNTIF(F24:H24,TRUE)=0,"offen",IF(COUNTIF(F24:H24,TRUE)&gt;1,"mehrfach!",IF(G24=TRUE,"n. i. O.","erledigt")))</f>
        <v>offen</v>
      </c>
      <c r="J24" s="10"/>
    </row>
    <row r="25" spans="1:10" ht="40.5" customHeight="1">
      <c r="A25" s="16">
        <v>17</v>
      </c>
      <c r="B25" s="9" t="s">
        <v>17</v>
      </c>
      <c r="C25" s="16" t="s">
        <v>96</v>
      </c>
      <c r="D25" s="10" t="s">
        <v>97</v>
      </c>
      <c r="E25" s="17" t="s">
        <v>93</v>
      </c>
      <c r="F25" s="18" t="b">
        <v>0</v>
      </c>
      <c r="G25" s="18" t="b">
        <v>0</v>
      </c>
      <c r="H25" s="18" t="b">
        <v>0</v>
      </c>
      <c r="I25" s="19" t="str">
        <f>IF(COUNTIF(F25:H25,TRUE)=0,"offen",IF(COUNTIF(F25:H25,TRUE)&gt;1,"mehrfach!",IF(G25=TRUE,"n. i. O.","erledigt")))</f>
        <v>offen</v>
      </c>
      <c r="J25" s="10"/>
    </row>
    <row r="26" spans="1:10">
      <c r="A26" s="29" t="s">
        <v>98</v>
      </c>
      <c r="B26" s="29"/>
      <c r="C26" s="29"/>
      <c r="D26" s="29"/>
      <c r="E26" s="29"/>
      <c r="F26" s="29"/>
      <c r="G26" s="29"/>
      <c r="H26" s="29"/>
      <c r="I26" s="29"/>
      <c r="J26" s="29"/>
    </row>
    <row r="27" spans="1:10" ht="27.95" customHeight="1">
      <c r="A27" s="16">
        <v>18</v>
      </c>
      <c r="B27" s="9" t="s">
        <v>17</v>
      </c>
      <c r="C27" s="16" t="s">
        <v>99</v>
      </c>
      <c r="D27" s="10" t="s">
        <v>100</v>
      </c>
      <c r="E27" s="17" t="s">
        <v>101</v>
      </c>
      <c r="F27" s="18" t="b">
        <v>0</v>
      </c>
      <c r="G27" s="18" t="b">
        <v>0</v>
      </c>
      <c r="H27" s="18" t="b">
        <v>0</v>
      </c>
      <c r="I27" s="19" t="str">
        <f>IF(COUNTIF(F27:H27,TRUE)=0,"offen",IF(COUNTIF(F27:H27,TRUE)&gt;1,"mehrfach!",IF(G27=TRUE,"n. i. O.","erledigt")))</f>
        <v>offen</v>
      </c>
      <c r="J27" s="10"/>
    </row>
    <row r="28" spans="1:10" ht="40.5" customHeight="1">
      <c r="A28" s="16">
        <v>19</v>
      </c>
      <c r="B28" s="9" t="s">
        <v>17</v>
      </c>
      <c r="C28" s="16" t="s">
        <v>102</v>
      </c>
      <c r="D28" s="10" t="s">
        <v>103</v>
      </c>
      <c r="E28" s="17" t="s">
        <v>104</v>
      </c>
      <c r="F28" s="18" t="b">
        <v>0</v>
      </c>
      <c r="G28" s="18" t="b">
        <v>0</v>
      </c>
      <c r="H28" s="18" t="b">
        <v>0</v>
      </c>
      <c r="I28" s="19" t="str">
        <f>IF(COUNTIF(F28:H28,TRUE)=0,"offen",IF(COUNTIF(F28:H28,TRUE)&gt;1,"mehrfach!",IF(G28=TRUE,"n. i. O.","erledigt")))</f>
        <v>offen</v>
      </c>
      <c r="J28" s="10"/>
    </row>
    <row r="29" spans="1:10" ht="27.95" customHeight="1">
      <c r="A29" s="16">
        <v>20</v>
      </c>
      <c r="B29" s="9" t="s">
        <v>17</v>
      </c>
      <c r="C29" s="16" t="s">
        <v>105</v>
      </c>
      <c r="D29" s="10" t="s">
        <v>106</v>
      </c>
      <c r="E29" s="17" t="s">
        <v>101</v>
      </c>
      <c r="F29" s="18" t="b">
        <v>0</v>
      </c>
      <c r="G29" s="18" t="b">
        <v>0</v>
      </c>
      <c r="H29" s="18" t="b">
        <v>0</v>
      </c>
      <c r="I29" s="19" t="str">
        <f>IF(COUNTIF(F29:H29,TRUE)=0,"offen",IF(COUNTIF(F29:H29,TRUE)&gt;1,"mehrfach!",IF(G29=TRUE,"n. i. O.","erledigt")))</f>
        <v>offen</v>
      </c>
      <c r="J29" s="10"/>
    </row>
    <row r="30" spans="1:10">
      <c r="A30" s="29" t="s">
        <v>107</v>
      </c>
      <c r="B30" s="29"/>
      <c r="C30" s="29"/>
      <c r="D30" s="29"/>
      <c r="E30" s="29"/>
      <c r="F30" s="29"/>
      <c r="G30" s="29"/>
      <c r="H30" s="29"/>
      <c r="I30" s="29"/>
      <c r="J30" s="29"/>
    </row>
    <row r="31" spans="1:10" ht="27.95" customHeight="1">
      <c r="A31" s="16">
        <v>21</v>
      </c>
      <c r="B31" s="9" t="s">
        <v>17</v>
      </c>
      <c r="C31" s="16" t="s">
        <v>108</v>
      </c>
      <c r="D31" s="10" t="s">
        <v>109</v>
      </c>
      <c r="E31" s="17" t="s">
        <v>110</v>
      </c>
      <c r="F31" s="18" t="b">
        <v>0</v>
      </c>
      <c r="G31" s="18" t="b">
        <v>0</v>
      </c>
      <c r="H31" s="18" t="b">
        <v>0</v>
      </c>
      <c r="I31" s="19" t="str">
        <f>IF(COUNTIF(F31:H31,TRUE)=0,"offen",IF(COUNTIF(F31:H31,TRUE)&gt;1,"mehrfach!",IF(G31=TRUE,"n. i. O.","erledigt")))</f>
        <v>offen</v>
      </c>
      <c r="J31" s="10"/>
    </row>
    <row r="32" spans="1:10" ht="27.95" customHeight="1">
      <c r="A32" s="16">
        <v>22</v>
      </c>
      <c r="B32" s="9" t="s">
        <v>17</v>
      </c>
      <c r="C32" s="16" t="s">
        <v>111</v>
      </c>
      <c r="D32" s="10" t="s">
        <v>112</v>
      </c>
      <c r="E32" s="17" t="s">
        <v>110</v>
      </c>
      <c r="F32" s="18" t="b">
        <v>0</v>
      </c>
      <c r="G32" s="18" t="b">
        <v>0</v>
      </c>
      <c r="H32" s="18" t="b">
        <v>0</v>
      </c>
      <c r="I32" s="19" t="str">
        <f>IF(COUNTIF(F32:H32,TRUE)=0,"offen",IF(COUNTIF(F32:H32,TRUE)&gt;1,"mehrfach!",IF(G32=TRUE,"n. i. O.","erledigt")))</f>
        <v>offen</v>
      </c>
      <c r="J32" s="10"/>
    </row>
    <row r="33" spans="1:10" ht="27.95" customHeight="1">
      <c r="A33" s="16">
        <v>23</v>
      </c>
      <c r="B33" s="9" t="s">
        <v>17</v>
      </c>
      <c r="C33" s="16" t="s">
        <v>113</v>
      </c>
      <c r="D33" s="10" t="s">
        <v>114</v>
      </c>
      <c r="E33" s="17" t="s">
        <v>110</v>
      </c>
      <c r="F33" s="18" t="b">
        <v>0</v>
      </c>
      <c r="G33" s="18" t="b">
        <v>0</v>
      </c>
      <c r="H33" s="18" t="b">
        <v>0</v>
      </c>
      <c r="I33" s="19" t="str">
        <f>IF(COUNTIF(F33:H33,TRUE)=0,"offen",IF(COUNTIF(F33:H33,TRUE)&gt;1,"mehrfach!",IF(G33=TRUE,"n. i. O.","erledigt")))</f>
        <v>offen</v>
      </c>
      <c r="J33" s="10"/>
    </row>
    <row r="34" spans="1:10" ht="20.100000000000001" customHeight="1">
      <c r="A34" s="27" t="s">
        <v>115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>
      <c r="A35" s="28" t="s">
        <v>116</v>
      </c>
      <c r="B35" s="28"/>
      <c r="C35" s="28"/>
      <c r="D35" s="28"/>
      <c r="E35" s="28"/>
      <c r="F35" s="28"/>
      <c r="G35" s="28"/>
      <c r="H35" s="28"/>
      <c r="I35" s="28"/>
      <c r="J35" s="28"/>
    </row>
    <row r="36" spans="1:10" ht="27.95" customHeight="1">
      <c r="A36" s="12">
        <v>24</v>
      </c>
      <c r="B36" s="7" t="s">
        <v>15</v>
      </c>
      <c r="C36" s="12" t="s">
        <v>117</v>
      </c>
      <c r="D36" s="8" t="s">
        <v>118</v>
      </c>
      <c r="E36" s="8"/>
      <c r="F36" s="13" t="b">
        <v>0</v>
      </c>
      <c r="G36" s="13" t="b">
        <v>0</v>
      </c>
      <c r="H36" s="13" t="b">
        <v>0</v>
      </c>
      <c r="I36" s="14" t="str">
        <f>IF(COUNTIF(F36:H36,TRUE)=0,"offen",IF(COUNTIF(F36:H36,TRUE)&gt;1,"mehrfach!",IF(G36=TRUE,"n. i. O.","erledigt")))</f>
        <v>offen</v>
      </c>
      <c r="J36" s="8"/>
    </row>
    <row r="37" spans="1:10" ht="27.95" customHeight="1">
      <c r="A37" s="12">
        <v>25</v>
      </c>
      <c r="B37" s="7" t="s">
        <v>15</v>
      </c>
      <c r="C37" s="12" t="s">
        <v>119</v>
      </c>
      <c r="D37" s="8" t="s">
        <v>120</v>
      </c>
      <c r="E37" s="15" t="s">
        <v>121</v>
      </c>
      <c r="F37" s="13" t="b">
        <v>0</v>
      </c>
      <c r="G37" s="13" t="b">
        <v>0</v>
      </c>
      <c r="H37" s="13" t="b">
        <v>0</v>
      </c>
      <c r="I37" s="14" t="str">
        <f>IF(COUNTIF(F37:H37,TRUE)=0,"offen",IF(COUNTIF(F37:H37,TRUE)&gt;1,"mehrfach!",IF(G37=TRUE,"n. i. O.","erledigt")))</f>
        <v>offen</v>
      </c>
      <c r="J37" s="8"/>
    </row>
    <row r="38" spans="1:10">
      <c r="A38" s="29" t="s">
        <v>122</v>
      </c>
      <c r="B38" s="29"/>
      <c r="C38" s="29"/>
      <c r="D38" s="29"/>
      <c r="E38" s="29"/>
      <c r="F38" s="29"/>
      <c r="G38" s="29"/>
      <c r="H38" s="29"/>
      <c r="I38" s="29"/>
      <c r="J38" s="29"/>
    </row>
    <row r="39" spans="1:10" ht="27.95" customHeight="1">
      <c r="A39" s="16">
        <v>26</v>
      </c>
      <c r="B39" s="9" t="s">
        <v>17</v>
      </c>
      <c r="C39" s="16" t="s">
        <v>123</v>
      </c>
      <c r="D39" s="10" t="s">
        <v>124</v>
      </c>
      <c r="E39" s="17" t="s">
        <v>125</v>
      </c>
      <c r="F39" s="18" t="b">
        <v>0</v>
      </c>
      <c r="G39" s="18" t="b">
        <v>0</v>
      </c>
      <c r="H39" s="18" t="b">
        <v>0</v>
      </c>
      <c r="I39" s="19" t="str">
        <f>IF(COUNTIF(F39:H39,TRUE)=0,"offen",IF(COUNTIF(F39:H39,TRUE)&gt;1,"mehrfach!",IF(G39=TRUE,"n. i. O.","erledigt")))</f>
        <v>offen</v>
      </c>
      <c r="J39" s="10"/>
    </row>
    <row r="40" spans="1:10" ht="20.100000000000001" customHeight="1">
      <c r="A40" s="27" t="s">
        <v>126</v>
      </c>
      <c r="B40" s="27"/>
      <c r="C40" s="27"/>
      <c r="D40" s="27"/>
      <c r="E40" s="27"/>
      <c r="F40" s="27"/>
      <c r="G40" s="27"/>
      <c r="H40" s="27"/>
      <c r="I40" s="27"/>
      <c r="J40" s="27"/>
    </row>
    <row r="41" spans="1:10">
      <c r="A41" s="28" t="s">
        <v>127</v>
      </c>
      <c r="B41" s="28"/>
      <c r="C41" s="28"/>
      <c r="D41" s="28"/>
      <c r="E41" s="28"/>
      <c r="F41" s="28"/>
      <c r="G41" s="28"/>
      <c r="H41" s="28"/>
      <c r="I41" s="28"/>
      <c r="J41" s="28"/>
    </row>
    <row r="42" spans="1:10" ht="40.5" customHeight="1">
      <c r="A42" s="12">
        <v>27</v>
      </c>
      <c r="B42" s="7" t="s">
        <v>15</v>
      </c>
      <c r="C42" s="12" t="s">
        <v>128</v>
      </c>
      <c r="D42" s="8" t="s">
        <v>129</v>
      </c>
      <c r="E42" s="8"/>
      <c r="F42" s="13" t="b">
        <v>0</v>
      </c>
      <c r="G42" s="13" t="b">
        <v>0</v>
      </c>
      <c r="H42" s="13" t="b">
        <v>0</v>
      </c>
      <c r="I42" s="14" t="str">
        <f>IF(COUNTIF(F42:H42,TRUE)=0,"offen",IF(COUNTIF(F42:H42,TRUE)&gt;1,"mehrfach!",IF(G42=TRUE,"n. i. O.","erledigt")))</f>
        <v>offen</v>
      </c>
      <c r="J42" s="8"/>
    </row>
    <row r="43" spans="1:10" ht="15.6" customHeight="1">
      <c r="A43" s="12">
        <v>28</v>
      </c>
      <c r="B43" s="7" t="s">
        <v>15</v>
      </c>
      <c r="C43" s="12" t="s">
        <v>130</v>
      </c>
      <c r="D43" s="8" t="s">
        <v>131</v>
      </c>
      <c r="E43" s="8"/>
      <c r="F43" s="13" t="b">
        <v>0</v>
      </c>
      <c r="G43" s="13" t="b">
        <v>0</v>
      </c>
      <c r="H43" s="13" t="b">
        <v>0</v>
      </c>
      <c r="I43" s="14" t="str">
        <f>IF(COUNTIF(F43:H43,TRUE)=0,"offen",IF(COUNTIF(F43:H43,TRUE)&gt;1,"mehrfach!",IF(G43=TRUE,"n. i. O.","erledigt")))</f>
        <v>offen</v>
      </c>
      <c r="J43" s="8"/>
    </row>
    <row r="44" spans="1:10" ht="15.6" customHeight="1">
      <c r="A44" s="12">
        <v>29</v>
      </c>
      <c r="B44" s="7" t="s">
        <v>15</v>
      </c>
      <c r="C44" s="12" t="s">
        <v>132</v>
      </c>
      <c r="D44" s="8" t="s">
        <v>133</v>
      </c>
      <c r="E44" s="15" t="s">
        <v>134</v>
      </c>
      <c r="F44" s="13" t="b">
        <v>0</v>
      </c>
      <c r="G44" s="13" t="b">
        <v>0</v>
      </c>
      <c r="H44" s="13" t="b">
        <v>0</v>
      </c>
      <c r="I44" s="14" t="str">
        <f>IF(COUNTIF(F44:H44,TRUE)=0,"offen",IF(COUNTIF(F44:H44,TRUE)&gt;1,"mehrfach!",IF(G44=TRUE,"n. i. O.","erledigt")))</f>
        <v>offen</v>
      </c>
      <c r="J44" s="8"/>
    </row>
    <row r="45" spans="1:10" ht="15.6" customHeight="1">
      <c r="A45" s="12">
        <v>30</v>
      </c>
      <c r="B45" s="7" t="s">
        <v>15</v>
      </c>
      <c r="C45" s="12" t="s">
        <v>135</v>
      </c>
      <c r="D45" s="8" t="s">
        <v>136</v>
      </c>
      <c r="E45" s="8"/>
      <c r="F45" s="13" t="b">
        <v>0</v>
      </c>
      <c r="G45" s="13" t="b">
        <v>0</v>
      </c>
      <c r="H45" s="13" t="b">
        <v>0</v>
      </c>
      <c r="I45" s="14" t="str">
        <f>IF(COUNTIF(F45:H45,TRUE)=0,"offen",IF(COUNTIF(F45:H45,TRUE)&gt;1,"mehrfach!",IF(G45=TRUE,"n. i. O.","erledigt")))</f>
        <v>offen</v>
      </c>
      <c r="J45" s="8"/>
    </row>
    <row r="46" spans="1:10" ht="15.6" customHeight="1">
      <c r="A46" s="12">
        <v>31</v>
      </c>
      <c r="B46" s="7" t="s">
        <v>15</v>
      </c>
      <c r="C46" s="12" t="s">
        <v>137</v>
      </c>
      <c r="D46" s="8" t="s">
        <v>138</v>
      </c>
      <c r="E46" s="15" t="s">
        <v>139</v>
      </c>
      <c r="F46" s="13" t="b">
        <v>0</v>
      </c>
      <c r="G46" s="13" t="b">
        <v>0</v>
      </c>
      <c r="H46" s="13" t="b">
        <v>0</v>
      </c>
      <c r="I46" s="14" t="str">
        <f>IF(COUNTIF(F46:H46,TRUE)=0,"offen",IF(COUNTIF(F46:H46,TRUE)&gt;1,"mehrfach!",IF(G46=TRUE,"n. i. O.","erledigt")))</f>
        <v>offen</v>
      </c>
      <c r="J46" s="8"/>
    </row>
    <row r="47" spans="1:10">
      <c r="A47" s="28" t="s">
        <v>140</v>
      </c>
      <c r="B47" s="28"/>
      <c r="C47" s="28"/>
      <c r="D47" s="28"/>
      <c r="E47" s="28"/>
      <c r="F47" s="28"/>
      <c r="G47" s="28"/>
      <c r="H47" s="28"/>
      <c r="I47" s="28"/>
      <c r="J47" s="28"/>
    </row>
    <row r="48" spans="1:10" ht="27.95" customHeight="1">
      <c r="A48" s="12">
        <v>32</v>
      </c>
      <c r="B48" s="7" t="s">
        <v>15</v>
      </c>
      <c r="C48" s="12" t="s">
        <v>141</v>
      </c>
      <c r="D48" s="8" t="s">
        <v>142</v>
      </c>
      <c r="E48" s="8"/>
      <c r="F48" s="13" t="b">
        <v>0</v>
      </c>
      <c r="G48" s="13" t="b">
        <v>0</v>
      </c>
      <c r="H48" s="13" t="b">
        <v>0</v>
      </c>
      <c r="I48" s="14" t="str">
        <f>IF(COUNTIF(F48:H48,TRUE)=0,"offen",IF(COUNTIF(F48:H48,TRUE)&gt;1,"mehrfach!",IF(G48=TRUE,"n. i. O.","erledigt")))</f>
        <v>offen</v>
      </c>
      <c r="J48" s="8"/>
    </row>
    <row r="49" spans="1:10" ht="27.95" customHeight="1">
      <c r="A49" s="12">
        <v>33</v>
      </c>
      <c r="B49" s="7" t="s">
        <v>15</v>
      </c>
      <c r="C49" s="12" t="s">
        <v>143</v>
      </c>
      <c r="D49" s="8" t="s">
        <v>144</v>
      </c>
      <c r="E49" s="8"/>
      <c r="F49" s="13" t="b">
        <v>0</v>
      </c>
      <c r="G49" s="13" t="b">
        <v>0</v>
      </c>
      <c r="H49" s="13" t="b">
        <v>0</v>
      </c>
      <c r="I49" s="14" t="str">
        <f>IF(COUNTIF(F49:H49,TRUE)=0,"offen",IF(COUNTIF(F49:H49,TRUE)&gt;1,"mehrfach!",IF(G49=TRUE,"n. i. O.","erledigt")))</f>
        <v>offen</v>
      </c>
      <c r="J49" s="8"/>
    </row>
    <row r="50" spans="1:10">
      <c r="A50" s="29" t="s">
        <v>145</v>
      </c>
      <c r="B50" s="29"/>
      <c r="C50" s="29"/>
      <c r="D50" s="29"/>
      <c r="E50" s="29"/>
      <c r="F50" s="29"/>
      <c r="G50" s="29"/>
      <c r="H50" s="29"/>
      <c r="I50" s="29"/>
      <c r="J50" s="29"/>
    </row>
    <row r="51" spans="1:10" ht="27.95" customHeight="1">
      <c r="A51" s="16">
        <v>34</v>
      </c>
      <c r="B51" s="9" t="s">
        <v>17</v>
      </c>
      <c r="C51" s="16" t="s">
        <v>146</v>
      </c>
      <c r="D51" s="10" t="s">
        <v>147</v>
      </c>
      <c r="E51" s="17" t="s">
        <v>148</v>
      </c>
      <c r="F51" s="18" t="b">
        <v>0</v>
      </c>
      <c r="G51" s="18" t="b">
        <v>0</v>
      </c>
      <c r="H51" s="18" t="b">
        <v>0</v>
      </c>
      <c r="I51" s="19" t="str">
        <f>IF(COUNTIF(F51:H51,TRUE)=0,"offen",IF(COUNTIF(F51:H51,TRUE)&gt;1,"mehrfach!",IF(G51=TRUE,"n. i. O.","erledigt")))</f>
        <v>offen</v>
      </c>
      <c r="J51" s="10"/>
    </row>
    <row r="52" spans="1:10" ht="27.95" customHeight="1">
      <c r="A52" s="16">
        <v>35</v>
      </c>
      <c r="B52" s="9" t="s">
        <v>17</v>
      </c>
      <c r="C52" s="16" t="s">
        <v>149</v>
      </c>
      <c r="D52" s="10" t="s">
        <v>150</v>
      </c>
      <c r="E52" s="17" t="s">
        <v>148</v>
      </c>
      <c r="F52" s="18" t="b">
        <v>0</v>
      </c>
      <c r="G52" s="18" t="b">
        <v>0</v>
      </c>
      <c r="H52" s="18" t="b">
        <v>0</v>
      </c>
      <c r="I52" s="19" t="str">
        <f>IF(COUNTIF(F52:H52,TRUE)=0,"offen",IF(COUNTIF(F52:H52,TRUE)&gt;1,"mehrfach!",IF(G52=TRUE,"n. i. O.","erledigt")))</f>
        <v>offen</v>
      </c>
      <c r="J52" s="10"/>
    </row>
    <row r="53" spans="1:10" ht="27.95" customHeight="1">
      <c r="A53" s="16">
        <v>36</v>
      </c>
      <c r="B53" s="9" t="s">
        <v>17</v>
      </c>
      <c r="C53" s="16" t="s">
        <v>151</v>
      </c>
      <c r="D53" s="10" t="s">
        <v>152</v>
      </c>
      <c r="E53" s="17" t="s">
        <v>148</v>
      </c>
      <c r="F53" s="18" t="b">
        <v>0</v>
      </c>
      <c r="G53" s="18" t="b">
        <v>0</v>
      </c>
      <c r="H53" s="18" t="b">
        <v>0</v>
      </c>
      <c r="I53" s="19" t="str">
        <f>IF(COUNTIF(F53:H53,TRUE)=0,"offen",IF(COUNTIF(F53:H53,TRUE)&gt;1,"mehrfach!",IF(G53=TRUE,"n. i. O.","erledigt")))</f>
        <v>offen</v>
      </c>
      <c r="J53" s="10"/>
    </row>
    <row r="54" spans="1:10" ht="27.95" customHeight="1">
      <c r="A54" s="16">
        <v>37</v>
      </c>
      <c r="B54" s="9" t="s">
        <v>17</v>
      </c>
      <c r="C54" s="16" t="s">
        <v>153</v>
      </c>
      <c r="D54" s="10" t="s">
        <v>154</v>
      </c>
      <c r="E54" s="17" t="s">
        <v>148</v>
      </c>
      <c r="F54" s="18" t="b">
        <v>0</v>
      </c>
      <c r="G54" s="18" t="b">
        <v>0</v>
      </c>
      <c r="H54" s="18" t="b">
        <v>0</v>
      </c>
      <c r="I54" s="19" t="str">
        <f>IF(COUNTIF(F54:H54,TRUE)=0,"offen",IF(COUNTIF(F54:H54,TRUE)&gt;1,"mehrfach!",IF(G54=TRUE,"n. i. O.","erledigt")))</f>
        <v>offen</v>
      </c>
      <c r="J54" s="10"/>
    </row>
    <row r="55" spans="1:10" ht="15.6" customHeight="1">
      <c r="A55" s="16">
        <v>38</v>
      </c>
      <c r="B55" s="9" t="s">
        <v>17</v>
      </c>
      <c r="C55" s="16" t="s">
        <v>155</v>
      </c>
      <c r="D55" s="10" t="s">
        <v>156</v>
      </c>
      <c r="E55" s="17" t="s">
        <v>148</v>
      </c>
      <c r="F55" s="18" t="b">
        <v>0</v>
      </c>
      <c r="G55" s="18" t="b">
        <v>0</v>
      </c>
      <c r="H55" s="18" t="b">
        <v>0</v>
      </c>
      <c r="I55" s="19" t="str">
        <f>IF(COUNTIF(F55:H55,TRUE)=0,"offen",IF(COUNTIF(F55:H55,TRUE)&gt;1,"mehrfach!",IF(G55=TRUE,"n. i. O.","erledigt")))</f>
        <v>offen</v>
      </c>
      <c r="J55" s="10"/>
    </row>
    <row r="56" spans="1:10" ht="40.5" customHeight="1">
      <c r="A56" s="16">
        <v>39</v>
      </c>
      <c r="B56" s="9" t="s">
        <v>17</v>
      </c>
      <c r="C56" s="16" t="s">
        <v>157</v>
      </c>
      <c r="D56" s="10" t="s">
        <v>158</v>
      </c>
      <c r="E56" s="17" t="s">
        <v>148</v>
      </c>
      <c r="F56" s="18" t="b">
        <v>0</v>
      </c>
      <c r="G56" s="18" t="b">
        <v>0</v>
      </c>
      <c r="H56" s="18" t="b">
        <v>0</v>
      </c>
      <c r="I56" s="19" t="str">
        <f>IF(COUNTIF(F56:H56,TRUE)=0,"offen",IF(COUNTIF(F56:H56,TRUE)&gt;1,"mehrfach!",IF(G56=TRUE,"n. i. O.","erledigt")))</f>
        <v>offen</v>
      </c>
      <c r="J56" s="10"/>
    </row>
    <row r="57" spans="1:10" ht="15.6" customHeight="1">
      <c r="A57" s="16">
        <v>40</v>
      </c>
      <c r="B57" s="9" t="s">
        <v>17</v>
      </c>
      <c r="C57" s="16" t="s">
        <v>159</v>
      </c>
      <c r="D57" s="10" t="s">
        <v>160</v>
      </c>
      <c r="E57" s="17" t="s">
        <v>148</v>
      </c>
      <c r="F57" s="18" t="b">
        <v>0</v>
      </c>
      <c r="G57" s="18" t="b">
        <v>0</v>
      </c>
      <c r="H57" s="18" t="b">
        <v>0</v>
      </c>
      <c r="I57" s="19" t="str">
        <f>IF(COUNTIF(F57:H57,TRUE)=0,"offen",IF(COUNTIF(F57:H57,TRUE)&gt;1,"mehrfach!",IF(G57=TRUE,"n. i. O.","erledigt")))</f>
        <v>offen</v>
      </c>
      <c r="J57" s="10"/>
    </row>
    <row r="58" spans="1:10" ht="15.6" customHeight="1">
      <c r="A58" s="16">
        <v>41</v>
      </c>
      <c r="B58" s="9" t="s">
        <v>17</v>
      </c>
      <c r="C58" s="16" t="s">
        <v>161</v>
      </c>
      <c r="D58" s="10" t="s">
        <v>162</v>
      </c>
      <c r="E58" s="17" t="s">
        <v>148</v>
      </c>
      <c r="F58" s="18" t="b">
        <v>0</v>
      </c>
      <c r="G58" s="18" t="b">
        <v>0</v>
      </c>
      <c r="H58" s="18" t="b">
        <v>0</v>
      </c>
      <c r="I58" s="19" t="str">
        <f>IF(COUNTIF(F58:H58,TRUE)=0,"offen",IF(COUNTIF(F58:H58,TRUE)&gt;1,"mehrfach!",IF(G58=TRUE,"n. i. O.","erledigt")))</f>
        <v>offen</v>
      </c>
      <c r="J58" s="10"/>
    </row>
    <row r="59" spans="1:10" ht="27.95" customHeight="1">
      <c r="A59" s="16">
        <v>42</v>
      </c>
      <c r="B59" s="9" t="s">
        <v>17</v>
      </c>
      <c r="C59" s="16" t="s">
        <v>163</v>
      </c>
      <c r="D59" s="10" t="s">
        <v>164</v>
      </c>
      <c r="E59" s="17" t="s">
        <v>148</v>
      </c>
      <c r="F59" s="18" t="b">
        <v>0</v>
      </c>
      <c r="G59" s="18" t="b">
        <v>0</v>
      </c>
      <c r="H59" s="18" t="b">
        <v>0</v>
      </c>
      <c r="I59" s="19" t="str">
        <f>IF(COUNTIF(F59:H59,TRUE)=0,"offen",IF(COUNTIF(F59:H59,TRUE)&gt;1,"mehrfach!",IF(G59=TRUE,"n. i. O.","erledigt")))</f>
        <v>offen</v>
      </c>
      <c r="J59" s="10"/>
    </row>
    <row r="60" spans="1:10" ht="15.6" customHeight="1">
      <c r="A60" s="16">
        <v>43</v>
      </c>
      <c r="B60" s="9" t="s">
        <v>17</v>
      </c>
      <c r="C60" s="16" t="s">
        <v>165</v>
      </c>
      <c r="D60" s="10" t="s">
        <v>166</v>
      </c>
      <c r="E60" s="17" t="s">
        <v>148</v>
      </c>
      <c r="F60" s="18" t="b">
        <v>0</v>
      </c>
      <c r="G60" s="18" t="b">
        <v>0</v>
      </c>
      <c r="H60" s="18" t="b">
        <v>0</v>
      </c>
      <c r="I60" s="19" t="str">
        <f>IF(COUNTIF(F60:H60,TRUE)=0,"offen",IF(COUNTIF(F60:H60,TRUE)&gt;1,"mehrfach!",IF(G60=TRUE,"n. i. O.","erledigt")))</f>
        <v>offen</v>
      </c>
      <c r="J60" s="10"/>
    </row>
    <row r="61" spans="1:10" ht="27.95" customHeight="1">
      <c r="A61" s="16">
        <v>44</v>
      </c>
      <c r="B61" s="9" t="s">
        <v>17</v>
      </c>
      <c r="C61" s="16" t="s">
        <v>167</v>
      </c>
      <c r="D61" s="10" t="s">
        <v>168</v>
      </c>
      <c r="E61" s="17" t="s">
        <v>169</v>
      </c>
      <c r="F61" s="18" t="b">
        <v>0</v>
      </c>
      <c r="G61" s="18" t="b">
        <v>0</v>
      </c>
      <c r="H61" s="18" t="b">
        <v>0</v>
      </c>
      <c r="I61" s="19" t="str">
        <f>IF(COUNTIF(F61:H61,TRUE)=0,"offen",IF(COUNTIF(F61:H61,TRUE)&gt;1,"mehrfach!",IF(G61=TRUE,"n. i. O.","erledigt")))</f>
        <v>offen</v>
      </c>
      <c r="J61" s="10"/>
    </row>
    <row r="62" spans="1:10" ht="20.100000000000001" customHeight="1">
      <c r="A62" s="27" t="s">
        <v>170</v>
      </c>
      <c r="B62" s="27"/>
      <c r="C62" s="27"/>
      <c r="D62" s="27"/>
      <c r="E62" s="27"/>
      <c r="F62" s="27"/>
      <c r="G62" s="27"/>
      <c r="H62" s="27"/>
      <c r="I62" s="27"/>
      <c r="J62" s="27"/>
    </row>
    <row r="63" spans="1:10">
      <c r="A63" s="28" t="s">
        <v>171</v>
      </c>
      <c r="B63" s="28"/>
      <c r="C63" s="28"/>
      <c r="D63" s="28"/>
      <c r="E63" s="28"/>
      <c r="F63" s="28"/>
      <c r="G63" s="28"/>
      <c r="H63" s="28"/>
      <c r="I63" s="28"/>
      <c r="J63" s="28"/>
    </row>
    <row r="64" spans="1:10" ht="15.6" customHeight="1">
      <c r="A64" s="12">
        <v>45</v>
      </c>
      <c r="B64" s="7" t="s">
        <v>15</v>
      </c>
      <c r="C64" s="12" t="s">
        <v>172</v>
      </c>
      <c r="D64" s="8" t="s">
        <v>173</v>
      </c>
      <c r="E64" s="15" t="s">
        <v>174</v>
      </c>
      <c r="F64" s="13" t="b">
        <v>0</v>
      </c>
      <c r="G64" s="13" t="b">
        <v>0</v>
      </c>
      <c r="H64" s="13" t="b">
        <v>0</v>
      </c>
      <c r="I64" s="14" t="str">
        <f>IF(COUNTIF(F64:H64,TRUE)=0,"offen",IF(COUNTIF(F64:H64,TRUE)&gt;1,"mehrfach!",IF(G64=TRUE,"n. i. O.","erledigt")))</f>
        <v>offen</v>
      </c>
      <c r="J64" s="8"/>
    </row>
    <row r="65" spans="1:10" ht="15.6" customHeight="1">
      <c r="A65" s="12">
        <v>46</v>
      </c>
      <c r="B65" s="7" t="s">
        <v>15</v>
      </c>
      <c r="C65" s="12" t="s">
        <v>175</v>
      </c>
      <c r="D65" s="8" t="s">
        <v>176</v>
      </c>
      <c r="E65" s="8"/>
      <c r="F65" s="13" t="b">
        <v>0</v>
      </c>
      <c r="G65" s="13" t="b">
        <v>0</v>
      </c>
      <c r="H65" s="13" t="b">
        <v>0</v>
      </c>
      <c r="I65" s="14" t="str">
        <f>IF(COUNTIF(F65:H65,TRUE)=0,"offen",IF(COUNTIF(F65:H65,TRUE)&gt;1,"mehrfach!",IF(G65=TRUE,"n. i. O.","erledigt")))</f>
        <v>offen</v>
      </c>
      <c r="J65" s="8"/>
    </row>
    <row r="66" spans="1:10" ht="27.95" customHeight="1">
      <c r="A66" s="12">
        <v>47</v>
      </c>
      <c r="B66" s="7" t="s">
        <v>15</v>
      </c>
      <c r="C66" s="12" t="s">
        <v>177</v>
      </c>
      <c r="D66" s="8" t="s">
        <v>178</v>
      </c>
      <c r="E66" s="8"/>
      <c r="F66" s="13" t="b">
        <v>0</v>
      </c>
      <c r="G66" s="13" t="b">
        <v>0</v>
      </c>
      <c r="H66" s="13" t="b">
        <v>0</v>
      </c>
      <c r="I66" s="14" t="str">
        <f>IF(COUNTIF(F66:H66,TRUE)=0,"offen",IF(COUNTIF(F66:H66,TRUE)&gt;1,"mehrfach!",IF(G66=TRUE,"n. i. O.","erledigt")))</f>
        <v>offen</v>
      </c>
      <c r="J66" s="8"/>
    </row>
    <row r="67" spans="1:10" ht="27.95" customHeight="1">
      <c r="A67" s="12">
        <v>48</v>
      </c>
      <c r="B67" s="7" t="s">
        <v>15</v>
      </c>
      <c r="C67" s="12" t="s">
        <v>179</v>
      </c>
      <c r="D67" s="8" t="s">
        <v>180</v>
      </c>
      <c r="E67" s="8"/>
      <c r="F67" s="13" t="b">
        <v>0</v>
      </c>
      <c r="G67" s="13" t="b">
        <v>0</v>
      </c>
      <c r="H67" s="13" t="b">
        <v>0</v>
      </c>
      <c r="I67" s="14" t="str">
        <f>IF(COUNTIF(F67:H67,TRUE)=0,"offen",IF(COUNTIF(F67:H67,TRUE)&gt;1,"mehrfach!",IF(G67=TRUE,"n. i. O.","erledigt")))</f>
        <v>offen</v>
      </c>
      <c r="J67" s="8"/>
    </row>
    <row r="68" spans="1:10" ht="27.95" customHeight="1">
      <c r="A68" s="12">
        <v>49</v>
      </c>
      <c r="B68" s="7" t="s">
        <v>15</v>
      </c>
      <c r="C68" s="12" t="s">
        <v>181</v>
      </c>
      <c r="D68" s="8" t="s">
        <v>182</v>
      </c>
      <c r="E68" s="8"/>
      <c r="F68" s="13" t="b">
        <v>0</v>
      </c>
      <c r="G68" s="13" t="b">
        <v>0</v>
      </c>
      <c r="H68" s="13" t="b">
        <v>0</v>
      </c>
      <c r="I68" s="14" t="str">
        <f>IF(COUNTIF(F68:H68,TRUE)=0,"offen",IF(COUNTIF(F68:H68,TRUE)&gt;1,"mehrfach!",IF(G68=TRUE,"n. i. O.","erledigt")))</f>
        <v>offen</v>
      </c>
      <c r="J68" s="8"/>
    </row>
    <row r="69" spans="1:10" ht="27.95" customHeight="1">
      <c r="A69" s="12">
        <v>50</v>
      </c>
      <c r="B69" s="7" t="s">
        <v>15</v>
      </c>
      <c r="C69" s="12" t="s">
        <v>183</v>
      </c>
      <c r="D69" s="8" t="s">
        <v>184</v>
      </c>
      <c r="E69" s="8"/>
      <c r="F69" s="13" t="b">
        <v>0</v>
      </c>
      <c r="G69" s="13" t="b">
        <v>0</v>
      </c>
      <c r="H69" s="13" t="b">
        <v>0</v>
      </c>
      <c r="I69" s="14" t="str">
        <f>IF(COUNTIF(F69:H69,TRUE)=0,"offen",IF(COUNTIF(F69:H69,TRUE)&gt;1,"mehrfach!",IF(G69=TRUE,"n. i. O.","erledigt")))</f>
        <v>offen</v>
      </c>
      <c r="J69" s="8"/>
    </row>
    <row r="70" spans="1:10" ht="27.95" customHeight="1">
      <c r="A70" s="12">
        <v>51</v>
      </c>
      <c r="B70" s="7" t="s">
        <v>15</v>
      </c>
      <c r="C70" s="12" t="s">
        <v>185</v>
      </c>
      <c r="D70" s="8" t="s">
        <v>186</v>
      </c>
      <c r="E70" s="8"/>
      <c r="F70" s="13" t="b">
        <v>0</v>
      </c>
      <c r="G70" s="13" t="b">
        <v>0</v>
      </c>
      <c r="H70" s="13" t="b">
        <v>0</v>
      </c>
      <c r="I70" s="14" t="str">
        <f>IF(COUNTIF(F70:H70,TRUE)=0,"offen",IF(COUNTIF(F70:H70,TRUE)&gt;1,"mehrfach!",IF(G70=TRUE,"n. i. O.","erledigt")))</f>
        <v>offen</v>
      </c>
      <c r="J70" s="8"/>
    </row>
    <row r="71" spans="1:10" ht="27.95" customHeight="1">
      <c r="A71" s="12">
        <v>52</v>
      </c>
      <c r="B71" s="7" t="s">
        <v>15</v>
      </c>
      <c r="C71" s="12" t="s">
        <v>187</v>
      </c>
      <c r="D71" s="8" t="s">
        <v>188</v>
      </c>
      <c r="E71" s="8"/>
      <c r="F71" s="13" t="b">
        <v>0</v>
      </c>
      <c r="G71" s="13" t="b">
        <v>0</v>
      </c>
      <c r="H71" s="13" t="b">
        <v>0</v>
      </c>
      <c r="I71" s="14" t="str">
        <f>IF(COUNTIF(F71:H71,TRUE)=0,"offen",IF(COUNTIF(F71:H71,TRUE)&gt;1,"mehrfach!",IF(G71=TRUE,"n. i. O.","erledigt")))</f>
        <v>offen</v>
      </c>
      <c r="J71" s="8"/>
    </row>
    <row r="72" spans="1:10" ht="27.95" customHeight="1">
      <c r="A72" s="12">
        <v>53</v>
      </c>
      <c r="B72" s="7" t="s">
        <v>15</v>
      </c>
      <c r="C72" s="12" t="s">
        <v>189</v>
      </c>
      <c r="D72" s="8" t="s">
        <v>190</v>
      </c>
      <c r="E72" s="8"/>
      <c r="F72" s="13" t="b">
        <v>0</v>
      </c>
      <c r="G72" s="13" t="b">
        <v>0</v>
      </c>
      <c r="H72" s="13" t="b">
        <v>0</v>
      </c>
      <c r="I72" s="14" t="str">
        <f>IF(COUNTIF(F72:H72,TRUE)=0,"offen",IF(COUNTIF(F72:H72,TRUE)&gt;1,"mehrfach!",IF(G72=TRUE,"n. i. O.","erledigt")))</f>
        <v>offen</v>
      </c>
      <c r="J72" s="8"/>
    </row>
    <row r="73" spans="1:10" ht="27.95" customHeight="1">
      <c r="A73" s="12">
        <v>54</v>
      </c>
      <c r="B73" s="7" t="s">
        <v>15</v>
      </c>
      <c r="C73" s="12" t="s">
        <v>191</v>
      </c>
      <c r="D73" s="8" t="s">
        <v>192</v>
      </c>
      <c r="E73" s="8"/>
      <c r="F73" s="13" t="b">
        <v>0</v>
      </c>
      <c r="G73" s="13" t="b">
        <v>0</v>
      </c>
      <c r="H73" s="13" t="b">
        <v>0</v>
      </c>
      <c r="I73" s="14" t="str">
        <f>IF(COUNTIF(F73:H73,TRUE)=0,"offen",IF(COUNTIF(F73:H73,TRUE)&gt;1,"mehrfach!",IF(G73=TRUE,"n. i. O.","erledigt")))</f>
        <v>offen</v>
      </c>
      <c r="J73" s="8"/>
    </row>
    <row r="74" spans="1:10" ht="40.5" customHeight="1">
      <c r="A74" s="12">
        <v>55</v>
      </c>
      <c r="B74" s="7" t="s">
        <v>15</v>
      </c>
      <c r="C74" s="12" t="s">
        <v>193</v>
      </c>
      <c r="D74" s="8" t="s">
        <v>194</v>
      </c>
      <c r="E74" s="15" t="s">
        <v>195</v>
      </c>
      <c r="F74" s="13" t="b">
        <v>0</v>
      </c>
      <c r="G74" s="13" t="b">
        <v>0</v>
      </c>
      <c r="H74" s="13" t="b">
        <v>0</v>
      </c>
      <c r="I74" s="14" t="str">
        <f>IF(COUNTIF(F74:H74,TRUE)=0,"offen",IF(COUNTIF(F74:H74,TRUE)&gt;1,"mehrfach!",IF(G74=TRUE,"n. i. O.","erledigt")))</f>
        <v>offen</v>
      </c>
      <c r="J74" s="8"/>
    </row>
    <row r="75" spans="1:10" ht="27.95" customHeight="1">
      <c r="A75" s="12">
        <v>56</v>
      </c>
      <c r="B75" s="7" t="s">
        <v>15</v>
      </c>
      <c r="C75" s="12" t="s">
        <v>196</v>
      </c>
      <c r="D75" s="8" t="s">
        <v>197</v>
      </c>
      <c r="E75" s="8"/>
      <c r="F75" s="13" t="b">
        <v>0</v>
      </c>
      <c r="G75" s="13" t="b">
        <v>0</v>
      </c>
      <c r="H75" s="13" t="b">
        <v>0</v>
      </c>
      <c r="I75" s="14" t="str">
        <f>IF(COUNTIF(F75:H75,TRUE)=0,"offen",IF(COUNTIF(F75:H75,TRUE)&gt;1,"mehrfach!",IF(G75=TRUE,"n. i. O.","erledigt")))</f>
        <v>offen</v>
      </c>
      <c r="J75" s="8"/>
    </row>
    <row r="76" spans="1:10" ht="27.95" customHeight="1">
      <c r="A76" s="12">
        <v>57</v>
      </c>
      <c r="B76" s="7" t="s">
        <v>15</v>
      </c>
      <c r="C76" s="12" t="s">
        <v>198</v>
      </c>
      <c r="D76" s="8" t="s">
        <v>199</v>
      </c>
      <c r="E76" s="15" t="s">
        <v>200</v>
      </c>
      <c r="F76" s="13" t="b">
        <v>0</v>
      </c>
      <c r="G76" s="13" t="b">
        <v>0</v>
      </c>
      <c r="H76" s="13" t="b">
        <v>0</v>
      </c>
      <c r="I76" s="14" t="str">
        <f>IF(COUNTIF(F76:H76,TRUE)=0,"offen",IF(COUNTIF(F76:H76,TRUE)&gt;1,"mehrfach!",IF(G76=TRUE,"n. i. O.","erledigt")))</f>
        <v>offen</v>
      </c>
      <c r="J76" s="8"/>
    </row>
    <row r="77" spans="1:10" ht="27.95" customHeight="1">
      <c r="A77" s="12">
        <v>58</v>
      </c>
      <c r="B77" s="7" t="s">
        <v>15</v>
      </c>
      <c r="C77" s="12" t="s">
        <v>201</v>
      </c>
      <c r="D77" s="8" t="s">
        <v>202</v>
      </c>
      <c r="E77" s="8"/>
      <c r="F77" s="13" t="b">
        <v>0</v>
      </c>
      <c r="G77" s="13" t="b">
        <v>0</v>
      </c>
      <c r="H77" s="13" t="b">
        <v>0</v>
      </c>
      <c r="I77" s="14" t="str">
        <f>IF(COUNTIF(F77:H77,TRUE)=0,"offen",IF(COUNTIF(F77:H77,TRUE)&gt;1,"mehrfach!",IF(G77=TRUE,"n. i. O.","erledigt")))</f>
        <v>offen</v>
      </c>
      <c r="J77" s="8"/>
    </row>
    <row r="78" spans="1:10" ht="40.5" customHeight="1">
      <c r="A78" s="12">
        <v>59</v>
      </c>
      <c r="B78" s="7" t="s">
        <v>15</v>
      </c>
      <c r="C78" s="12" t="s">
        <v>203</v>
      </c>
      <c r="D78" s="8" t="s">
        <v>204</v>
      </c>
      <c r="E78" s="8"/>
      <c r="F78" s="13" t="b">
        <v>0</v>
      </c>
      <c r="G78" s="13" t="b">
        <v>0</v>
      </c>
      <c r="H78" s="13" t="b">
        <v>0</v>
      </c>
      <c r="I78" s="14" t="str">
        <f>IF(COUNTIF(F78:H78,TRUE)=0,"offen",IF(COUNTIF(F78:H78,TRUE)&gt;1,"mehrfach!",IF(G78=TRUE,"n. i. O.","erledigt")))</f>
        <v>offen</v>
      </c>
      <c r="J78" s="8"/>
    </row>
    <row r="79" spans="1:10">
      <c r="A79" s="29" t="s">
        <v>205</v>
      </c>
      <c r="B79" s="29"/>
      <c r="C79" s="29"/>
      <c r="D79" s="29"/>
      <c r="E79" s="29"/>
      <c r="F79" s="29"/>
      <c r="G79" s="29"/>
      <c r="H79" s="29"/>
      <c r="I79" s="29"/>
      <c r="J79" s="29"/>
    </row>
    <row r="80" spans="1:10" ht="27.95" customHeight="1">
      <c r="A80" s="16">
        <v>60</v>
      </c>
      <c r="B80" s="9" t="s">
        <v>17</v>
      </c>
      <c r="C80" s="16" t="s">
        <v>206</v>
      </c>
      <c r="D80" s="10" t="s">
        <v>207</v>
      </c>
      <c r="E80" s="17" t="s">
        <v>208</v>
      </c>
      <c r="F80" s="18" t="b">
        <v>0</v>
      </c>
      <c r="G80" s="18" t="b">
        <v>0</v>
      </c>
      <c r="H80" s="18" t="b">
        <v>0</v>
      </c>
      <c r="I80" s="19" t="str">
        <f>IF(COUNTIF(F80:H80,TRUE)=0,"offen",IF(COUNTIF(F80:H80,TRUE)&gt;1,"mehrfach!",IF(G80=TRUE,"n. i. O.","erledigt")))</f>
        <v>offen</v>
      </c>
      <c r="J80" s="10"/>
    </row>
    <row r="81" spans="1:10">
      <c r="A81" s="29" t="s">
        <v>209</v>
      </c>
      <c r="B81" s="29"/>
      <c r="C81" s="29"/>
      <c r="D81" s="29"/>
      <c r="E81" s="29"/>
      <c r="F81" s="29"/>
      <c r="G81" s="29"/>
      <c r="H81" s="29"/>
      <c r="I81" s="29"/>
      <c r="J81" s="29"/>
    </row>
    <row r="82" spans="1:10" ht="27.95" customHeight="1">
      <c r="A82" s="16">
        <v>61</v>
      </c>
      <c r="B82" s="9" t="s">
        <v>17</v>
      </c>
      <c r="C82" s="16" t="s">
        <v>210</v>
      </c>
      <c r="D82" s="10" t="s">
        <v>211</v>
      </c>
      <c r="E82" s="10"/>
      <c r="F82" s="18" t="b">
        <v>0</v>
      </c>
      <c r="G82" s="18" t="b">
        <v>0</v>
      </c>
      <c r="H82" s="18" t="b">
        <v>0</v>
      </c>
      <c r="I82" s="19" t="str">
        <f>IF(COUNTIF(F82:H82,TRUE)=0,"offen",IF(COUNTIF(F82:H82,TRUE)&gt;1,"mehrfach!",IF(G82=TRUE,"n. i. O.","erledigt")))</f>
        <v>offen</v>
      </c>
      <c r="J82" s="10"/>
    </row>
    <row r="83" spans="1:10" ht="27.95" customHeight="1">
      <c r="A83" s="16">
        <v>62</v>
      </c>
      <c r="B83" s="9" t="s">
        <v>17</v>
      </c>
      <c r="C83" s="16" t="s">
        <v>212</v>
      </c>
      <c r="D83" s="10" t="s">
        <v>213</v>
      </c>
      <c r="E83" s="10"/>
      <c r="F83" s="18" t="b">
        <v>0</v>
      </c>
      <c r="G83" s="18" t="b">
        <v>0</v>
      </c>
      <c r="H83" s="18" t="b">
        <v>0</v>
      </c>
      <c r="I83" s="19" t="str">
        <f>IF(COUNTIF(F83:H83,TRUE)=0,"offen",IF(COUNTIF(F83:H83,TRUE)&gt;1,"mehrfach!",IF(G83=TRUE,"n. i. O.","erledigt")))</f>
        <v>offen</v>
      </c>
      <c r="J83" s="10"/>
    </row>
    <row r="84" spans="1:10" ht="27.95" customHeight="1">
      <c r="A84" s="16">
        <v>63</v>
      </c>
      <c r="B84" s="9" t="s">
        <v>17</v>
      </c>
      <c r="C84" s="16" t="s">
        <v>214</v>
      </c>
      <c r="D84" s="10" t="s">
        <v>215</v>
      </c>
      <c r="E84" s="10"/>
      <c r="F84" s="18" t="b">
        <v>0</v>
      </c>
      <c r="G84" s="18" t="b">
        <v>0</v>
      </c>
      <c r="H84" s="18" t="b">
        <v>0</v>
      </c>
      <c r="I84" s="19" t="str">
        <f>IF(COUNTIF(F84:H84,TRUE)=0,"offen",IF(COUNTIF(F84:H84,TRUE)&gt;1,"mehrfach!",IF(G84=TRUE,"n. i. O.","erledigt")))</f>
        <v>offen</v>
      </c>
      <c r="J84" s="10"/>
    </row>
    <row r="85" spans="1:10">
      <c r="A85" s="29" t="s">
        <v>216</v>
      </c>
      <c r="B85" s="29"/>
      <c r="C85" s="29"/>
      <c r="D85" s="29"/>
      <c r="E85" s="29"/>
      <c r="F85" s="29"/>
      <c r="G85" s="29"/>
      <c r="H85" s="29"/>
      <c r="I85" s="29"/>
      <c r="J85" s="29"/>
    </row>
    <row r="86" spans="1:10" ht="27.95" customHeight="1">
      <c r="A86" s="16">
        <v>64</v>
      </c>
      <c r="B86" s="9" t="s">
        <v>17</v>
      </c>
      <c r="C86" s="16" t="s">
        <v>217</v>
      </c>
      <c r="D86" s="10" t="s">
        <v>218</v>
      </c>
      <c r="E86" s="17" t="s">
        <v>219</v>
      </c>
      <c r="F86" s="18" t="b">
        <v>0</v>
      </c>
      <c r="G86" s="18" t="b">
        <v>0</v>
      </c>
      <c r="H86" s="18" t="b">
        <v>0</v>
      </c>
      <c r="I86" s="19" t="str">
        <f>IF(COUNTIF(F86:H86,TRUE)=0,"offen",IF(COUNTIF(F86:H86,TRUE)&gt;1,"mehrfach!",IF(G86=TRUE,"n. i. O.","erledigt")))</f>
        <v>offen</v>
      </c>
      <c r="J86" s="10"/>
    </row>
    <row r="87" spans="1:10">
      <c r="A87" s="29" t="s">
        <v>220</v>
      </c>
      <c r="B87" s="29"/>
      <c r="C87" s="29"/>
      <c r="D87" s="29"/>
      <c r="E87" s="29"/>
      <c r="F87" s="29"/>
      <c r="G87" s="29"/>
      <c r="H87" s="29"/>
      <c r="I87" s="29"/>
      <c r="J87" s="29"/>
    </row>
    <row r="88" spans="1:10" ht="53.1" customHeight="1">
      <c r="A88" s="16">
        <v>65</v>
      </c>
      <c r="B88" s="9" t="s">
        <v>17</v>
      </c>
      <c r="C88" s="16" t="s">
        <v>221</v>
      </c>
      <c r="D88" s="10" t="s">
        <v>222</v>
      </c>
      <c r="E88" s="17" t="s">
        <v>223</v>
      </c>
      <c r="F88" s="18" t="b">
        <v>0</v>
      </c>
      <c r="G88" s="18" t="b">
        <v>0</v>
      </c>
      <c r="H88" s="18" t="b">
        <v>0</v>
      </c>
      <c r="I88" s="19" t="str">
        <f>IF(COUNTIF(F88:H88,TRUE)=0,"offen",IF(COUNTIF(F88:H88,TRUE)&gt;1,"mehrfach!",IF(G88=TRUE,"n. i. O.","erledigt")))</f>
        <v>offen</v>
      </c>
      <c r="J88" s="10"/>
    </row>
    <row r="89" spans="1:10" ht="27.95" customHeight="1">
      <c r="A89" s="16">
        <v>66</v>
      </c>
      <c r="B89" s="9" t="s">
        <v>17</v>
      </c>
      <c r="C89" s="16" t="s">
        <v>224</v>
      </c>
      <c r="D89" s="10" t="s">
        <v>225</v>
      </c>
      <c r="E89" s="17" t="s">
        <v>223</v>
      </c>
      <c r="F89" s="18" t="b">
        <v>0</v>
      </c>
      <c r="G89" s="18" t="b">
        <v>0</v>
      </c>
      <c r="H89" s="18" t="b">
        <v>0</v>
      </c>
      <c r="I89" s="19" t="str">
        <f>IF(COUNTIF(F89:H89,TRUE)=0,"offen",IF(COUNTIF(F89:H89,TRUE)&gt;1,"mehrfach!",IF(G89=TRUE,"n. i. O.","erledigt")))</f>
        <v>offen</v>
      </c>
      <c r="J89" s="10"/>
    </row>
    <row r="90" spans="1:10" ht="27.95" customHeight="1">
      <c r="A90" s="16">
        <v>67</v>
      </c>
      <c r="B90" s="9" t="s">
        <v>17</v>
      </c>
      <c r="C90" s="16" t="s">
        <v>226</v>
      </c>
      <c r="D90" s="10" t="s">
        <v>227</v>
      </c>
      <c r="E90" s="17" t="s">
        <v>223</v>
      </c>
      <c r="F90" s="18" t="b">
        <v>0</v>
      </c>
      <c r="G90" s="18" t="b">
        <v>0</v>
      </c>
      <c r="H90" s="18" t="b">
        <v>0</v>
      </c>
      <c r="I90" s="19" t="str">
        <f>IF(COUNTIF(F90:H90,TRUE)=0,"offen",IF(COUNTIF(F90:H90,TRUE)&gt;1,"mehrfach!",IF(G90=TRUE,"n. i. O.","erledigt")))</f>
        <v>offen</v>
      </c>
      <c r="J90" s="10"/>
    </row>
  </sheetData>
  <autoFilter ref="A4:J90" xr:uid="{00000000-0009-0000-0000-000001000000}"/>
  <mergeCells count="19">
    <mergeCell ref="A79:J79"/>
    <mergeCell ref="A81:J81"/>
    <mergeCell ref="A85:J85"/>
    <mergeCell ref="A87:J87"/>
    <mergeCell ref="A41:J41"/>
    <mergeCell ref="A47:J47"/>
    <mergeCell ref="A50:J50"/>
    <mergeCell ref="A62:J62"/>
    <mergeCell ref="A63:J63"/>
    <mergeCell ref="A30:J30"/>
    <mergeCell ref="A34:J34"/>
    <mergeCell ref="A35:J35"/>
    <mergeCell ref="A38:J38"/>
    <mergeCell ref="A40:J40"/>
    <mergeCell ref="A5:J5"/>
    <mergeCell ref="A6:J6"/>
    <mergeCell ref="A17:J17"/>
    <mergeCell ref="A20:J20"/>
    <mergeCell ref="A26:J26"/>
  </mergeCells>
  <conditionalFormatting sqref="I5:I90">
    <cfRule type="cellIs" dxfId="2" priority="1" operator="equal">
      <formula>"erledigt"</formula>
    </cfRule>
    <cfRule type="cellIs" dxfId="1" priority="2" operator="equal">
      <formula>"n. i. O."</formula>
    </cfRule>
    <cfRule type="cellIs" dxfId="0" priority="3" operator="equal">
      <formula>"mehrfach!"</formula>
    </cfRule>
  </conditionalFormatting>
  <hyperlinks>
    <hyperlink ref="E8" location="'Prüfprotokoll'!D22" tooltip="Zur zugehörigen Prüfanleitung springen" display="↓ PA 4" xr:uid="{00000000-0004-0000-0100-000000000000}"/>
    <hyperlink ref="E10" location="'Prüfprotokoll'!D18" tooltip="Zur zugehörigen Prüfanleitung springen" display="↓ PA 1 (+1)" xr:uid="{00000000-0004-0000-0100-000001000000}"/>
    <hyperlink ref="E11" location="'Prüfprotokoll'!D21" tooltip="Zur zugehörigen Prüfanleitung springen" display="↓ PA 3" xr:uid="{00000000-0004-0000-0100-000002000000}"/>
    <hyperlink ref="E12" location="'Prüfprotokoll'!D31" tooltip="Zur zugehörigen Prüfanleitung springen" display="↓ PA 11 (+2)" xr:uid="{00000000-0004-0000-0100-000003000000}"/>
    <hyperlink ref="E13" location="'Prüfprotokoll'!D27" tooltip="Zur zugehörigen Prüfanleitung springen" display="↓ PA 8 (+2)" xr:uid="{00000000-0004-0000-0100-000004000000}"/>
    <hyperlink ref="E14" location="'Prüfprotokoll'!D19" tooltip="Zur zugehörigen Prüfanleitung springen" display="↓ PA 2 (+1)" xr:uid="{00000000-0004-0000-0100-000005000000}"/>
    <hyperlink ref="E15" location="'Prüfprotokoll'!D23" tooltip="Zur zugehörigen Prüfanleitung springen" display="↓ PA 5 (+2)" xr:uid="{00000000-0004-0000-0100-000006000000}"/>
    <hyperlink ref="E18" location="'Prüfprotokoll'!D10" tooltip="Zur TIP-Frage springen" display="↑ S2 Nr. 4" xr:uid="{00000000-0004-0000-0100-000007000000}"/>
    <hyperlink ref="E19" location="'Prüfprotokoll'!D10" tooltip="Zur TIP-Frage springen" display="↑ S2 Nr. 4, 8" xr:uid="{00000000-0004-0000-0100-000008000000}"/>
    <hyperlink ref="E21" location="'Prüfprotokoll'!D11" tooltip="Zur TIP-Frage springen" display="↑ S2 Nr. 5" xr:uid="{00000000-0004-0000-0100-000009000000}"/>
    <hyperlink ref="E22" location="'Prüfprotokoll'!D8" tooltip="Zur TIP-Frage springen" display="↑ S2 Nr. 2" xr:uid="{00000000-0004-0000-0100-00000A000000}"/>
    <hyperlink ref="E23" location="'Prüfprotokoll'!D15" tooltip="Zur TIP-Frage springen" display="↑ S2 Nr. 9" xr:uid="{00000000-0004-0000-0100-00000B000000}"/>
    <hyperlink ref="E24" location="'Prüfprotokoll'!D15" tooltip="Zur TIP-Frage springen" display="↑ S2 Nr. 9" xr:uid="{00000000-0004-0000-0100-00000C000000}"/>
    <hyperlink ref="E25" location="'Prüfprotokoll'!D15" tooltip="Zur TIP-Frage springen" display="↑ S2 Nr. 9" xr:uid="{00000000-0004-0000-0100-00000D000000}"/>
    <hyperlink ref="E27" location="'Prüfprotokoll'!D13" tooltip="Zur TIP-Frage springen" display="↑ S2 Nr. 7" xr:uid="{00000000-0004-0000-0100-00000E000000}"/>
    <hyperlink ref="E28" location="'Prüfprotokoll'!D13" tooltip="Zur TIP-Frage springen" display="↑ S2 Nr. 7, 8" xr:uid="{00000000-0004-0000-0100-00000F000000}"/>
    <hyperlink ref="E29" location="'Prüfprotokoll'!D13" tooltip="Zur TIP-Frage springen" display="↑ S2 Nr. 7" xr:uid="{00000000-0004-0000-0100-000010000000}"/>
    <hyperlink ref="E31" location="'Prüfprotokoll'!D12" tooltip="Zur TIP-Frage springen" display="↑ S2 Nr. 6" xr:uid="{00000000-0004-0000-0100-000011000000}"/>
    <hyperlink ref="E32" location="'Prüfprotokoll'!D12" tooltip="Zur TIP-Frage springen" display="↑ S2 Nr. 6" xr:uid="{00000000-0004-0000-0100-000012000000}"/>
    <hyperlink ref="E33" location="'Prüfprotokoll'!D12" tooltip="Zur TIP-Frage springen" display="↑ S2 Nr. 6" xr:uid="{00000000-0004-0000-0100-000013000000}"/>
    <hyperlink ref="E37" location="'Prüfprotokoll'!D39" tooltip="Zur zugehörigen Prüfanleitung springen" display="↓ PA 14" xr:uid="{00000000-0004-0000-0100-000014000000}"/>
    <hyperlink ref="E39" location="'Prüfprotokoll'!D37" tooltip="Zur TIP-Frage springen" display="↑ S2 Nr. 12" xr:uid="{00000000-0004-0000-0100-000015000000}"/>
    <hyperlink ref="E44" location="'Prüfprotokoll'!D61" tooltip="Zur zugehörigen Prüfanleitung springen" display="↓ PA 25" xr:uid="{00000000-0004-0000-0100-000016000000}"/>
    <hyperlink ref="E46" location="'Prüfprotokoll'!D51" tooltip="Zur zugehörigen Prüfanleitung springen" display="↓ PA 15 (+10)" xr:uid="{00000000-0004-0000-0100-000017000000}"/>
    <hyperlink ref="E51" location="'Prüfprotokoll'!D46" tooltip="Zur TIP-Frage springen" display="↑ S2 Nr. 17" xr:uid="{00000000-0004-0000-0100-000018000000}"/>
    <hyperlink ref="E52" location="'Prüfprotokoll'!D46" tooltip="Zur TIP-Frage springen" display="↑ S2 Nr. 17" xr:uid="{00000000-0004-0000-0100-000019000000}"/>
    <hyperlink ref="E53" location="'Prüfprotokoll'!D46" tooltip="Zur TIP-Frage springen" display="↑ S2 Nr. 17" xr:uid="{00000000-0004-0000-0100-00001A000000}"/>
    <hyperlink ref="E54" location="'Prüfprotokoll'!D46" tooltip="Zur TIP-Frage springen" display="↑ S2 Nr. 17" xr:uid="{00000000-0004-0000-0100-00001B000000}"/>
    <hyperlink ref="E55" location="'Prüfprotokoll'!D46" tooltip="Zur TIP-Frage springen" display="↑ S2 Nr. 17" xr:uid="{00000000-0004-0000-0100-00001C000000}"/>
    <hyperlink ref="E56" location="'Prüfprotokoll'!D46" tooltip="Zur TIP-Frage springen" display="↑ S2 Nr. 17" xr:uid="{00000000-0004-0000-0100-00001D000000}"/>
    <hyperlink ref="E57" location="'Prüfprotokoll'!D46" tooltip="Zur TIP-Frage springen" display="↑ S2 Nr. 17" xr:uid="{00000000-0004-0000-0100-00001E000000}"/>
    <hyperlink ref="E58" location="'Prüfprotokoll'!D46" tooltip="Zur TIP-Frage springen" display="↑ S2 Nr. 17" xr:uid="{00000000-0004-0000-0100-00001F000000}"/>
    <hyperlink ref="E59" location="'Prüfprotokoll'!D46" tooltip="Zur TIP-Frage springen" display="↑ S2 Nr. 17" xr:uid="{00000000-0004-0000-0100-000020000000}"/>
    <hyperlink ref="E60" location="'Prüfprotokoll'!D46" tooltip="Zur TIP-Frage springen" display="↑ S2 Nr. 17" xr:uid="{00000000-0004-0000-0100-000021000000}"/>
    <hyperlink ref="E61" location="'Prüfprotokoll'!D44" tooltip="Zur TIP-Frage springen" display="↑ S2 Nr. 15, 17" xr:uid="{00000000-0004-0000-0100-000022000000}"/>
    <hyperlink ref="E64" location="'Prüfprotokoll'!D80" tooltip="Zur zugehörigen Prüfanleitung springen" display="↓ PA 26" xr:uid="{00000000-0004-0000-0100-000023000000}"/>
    <hyperlink ref="E74" location="'Prüfprotokoll'!D86" tooltip="Zur zugehörigen Prüfanleitung springen" display="↓ PA 30" xr:uid="{00000000-0004-0000-0100-000024000000}"/>
    <hyperlink ref="E76" location="'Prüfprotokoll'!D88" tooltip="Zur zugehörigen Prüfanleitung springen" display="↓ PA 31 (+2)" xr:uid="{00000000-0004-0000-0100-000025000000}"/>
    <hyperlink ref="E80" location="'Prüfprotokoll'!D64" tooltip="Zur TIP-Frage springen" display="↑ S2 Nr. 20" xr:uid="{00000000-0004-0000-0100-000026000000}"/>
    <hyperlink ref="E86" location="'Prüfprotokoll'!D74" tooltip="Zur TIP-Frage springen" display="↑ S2 Nr. 30" xr:uid="{00000000-0004-0000-0100-000027000000}"/>
    <hyperlink ref="E88" location="'Prüfprotokoll'!D76" tooltip="Zur TIP-Frage springen" display="↑ S2 Nr. 32" xr:uid="{00000000-0004-0000-0100-000028000000}"/>
    <hyperlink ref="E89" location="'Prüfprotokoll'!D76" tooltip="Zur TIP-Frage springen" display="↑ S2 Nr. 32" xr:uid="{00000000-0004-0000-0100-000029000000}"/>
    <hyperlink ref="E90" location="'Prüfprotokoll'!D76" tooltip="Zur TIP-Frage springen" display="↑ S2 Nr. 32" xr:uid="{00000000-0004-0000-0100-00002A000000}"/>
  </hyperlinks>
  <pageMargins left="0.4" right="0.4" top="0.6" bottom="0.6" header="0.3" footer="0.3"/>
  <pageSetup paperSize="9" fitToHeight="0" orientation="landscape"/>
  <headerFooter>
    <oddHeader>&amp;L&amp;8Hitachi Rail · Interne Abnahmeprüfung&amp;R&amp;8Prüfprotokoll Fahrstraßenoberfläche (S2 + Prüfanleitung)</oddHeader>
    <oddFooter>&amp;L&amp;8Template Ausgabe 01&amp;R&amp;8Seite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I35"/>
  <sheetViews>
    <sheetView workbookViewId="0"/>
  </sheetViews>
  <sheetFormatPr defaultRowHeight="15"/>
  <cols>
    <col min="1" max="1" width="3.7109375" customWidth="1"/>
    <col min="2" max="2" width="48.7109375" customWidth="1"/>
    <col min="3" max="9" width="11.7109375" customWidth="1"/>
  </cols>
  <sheetData>
    <row r="2" spans="2:9">
      <c r="B2" s="11" t="s">
        <v>228</v>
      </c>
    </row>
    <row r="4" spans="2:9">
      <c r="B4" s="5" t="s">
        <v>229</v>
      </c>
      <c r="C4" s="5" t="s">
        <v>15</v>
      </c>
      <c r="D4" s="5" t="s">
        <v>17</v>
      </c>
      <c r="E4" s="5" t="s">
        <v>43</v>
      </c>
      <c r="F4" s="5" t="s">
        <v>44</v>
      </c>
      <c r="G4" s="5" t="s">
        <v>45</v>
      </c>
      <c r="H4" s="5" t="s">
        <v>230</v>
      </c>
      <c r="I4" s="5" t="s">
        <v>231</v>
      </c>
    </row>
    <row r="5" spans="2:9">
      <c r="B5" s="10" t="s">
        <v>48</v>
      </c>
      <c r="C5" s="16">
        <f>COUNTIF(Prüfprotokoll!B6:B33,"TIP S2")</f>
        <v>0</v>
      </c>
      <c r="D5" s="16">
        <f>COUNTIF(Prüfprotokoll!B6:B33,"PA")</f>
        <v>0</v>
      </c>
      <c r="E5" s="16">
        <f>COUNTIF(Prüfprotokoll!F6:F33,TRUE)</f>
        <v>0</v>
      </c>
      <c r="F5" s="16">
        <f>COUNTIF(Prüfprotokoll!G6:G33,TRUE)</f>
        <v>0</v>
      </c>
      <c r="G5" s="16">
        <f>COUNTIF(Prüfprotokoll!H6:H33,TRUE)</f>
        <v>0</v>
      </c>
      <c r="H5" s="16">
        <f>COUNTIF(Prüfprotokoll!I6:I33,"offen")</f>
        <v>0</v>
      </c>
      <c r="I5" s="16">
        <f>COUNTIF(Prüfprotokoll!I6:I33,"mehrfach!")</f>
        <v>0</v>
      </c>
    </row>
    <row r="6" spans="2:9">
      <c r="B6" s="10" t="s">
        <v>115</v>
      </c>
      <c r="C6" s="16">
        <f>COUNTIF(Prüfprotokoll!B35:B39,"TIP S2")</f>
        <v>0</v>
      </c>
      <c r="D6" s="16">
        <f>COUNTIF(Prüfprotokoll!B35:B39,"PA")</f>
        <v>0</v>
      </c>
      <c r="E6" s="16">
        <f>COUNTIF(Prüfprotokoll!F35:F39,TRUE)</f>
        <v>0</v>
      </c>
      <c r="F6" s="16">
        <f>COUNTIF(Prüfprotokoll!G35:G39,TRUE)</f>
        <v>0</v>
      </c>
      <c r="G6" s="16">
        <f>COUNTIF(Prüfprotokoll!H35:H39,TRUE)</f>
        <v>0</v>
      </c>
      <c r="H6" s="16">
        <f>COUNTIF(Prüfprotokoll!I35:I39,"offen")</f>
        <v>0</v>
      </c>
      <c r="I6" s="16">
        <f>COUNTIF(Prüfprotokoll!I35:I39,"mehrfach!")</f>
        <v>0</v>
      </c>
    </row>
    <row r="7" spans="2:9">
      <c r="B7" s="10" t="s">
        <v>126</v>
      </c>
      <c r="C7" s="16">
        <f>COUNTIF(Prüfprotokoll!B41:B61,"TIP S2")</f>
        <v>0</v>
      </c>
      <c r="D7" s="16">
        <f>COUNTIF(Prüfprotokoll!B41:B61,"PA")</f>
        <v>0</v>
      </c>
      <c r="E7" s="16">
        <f>COUNTIF(Prüfprotokoll!F41:F61,TRUE)</f>
        <v>0</v>
      </c>
      <c r="F7" s="16">
        <f>COUNTIF(Prüfprotokoll!G41:G61,TRUE)</f>
        <v>0</v>
      </c>
      <c r="G7" s="16">
        <f>COUNTIF(Prüfprotokoll!H41:H61,TRUE)</f>
        <v>0</v>
      </c>
      <c r="H7" s="16">
        <f>COUNTIF(Prüfprotokoll!I41:I61,"offen")</f>
        <v>0</v>
      </c>
      <c r="I7" s="16">
        <f>COUNTIF(Prüfprotokoll!I41:I61,"mehrfach!")</f>
        <v>0</v>
      </c>
    </row>
    <row r="8" spans="2:9">
      <c r="B8" s="10" t="s">
        <v>170</v>
      </c>
      <c r="C8" s="16">
        <f>COUNTIF(Prüfprotokoll!B63:B90,"TIP S2")</f>
        <v>0</v>
      </c>
      <c r="D8" s="16">
        <f>COUNTIF(Prüfprotokoll!B63:B90,"PA")</f>
        <v>0</v>
      </c>
      <c r="E8" s="16">
        <f>COUNTIF(Prüfprotokoll!F63:F90,TRUE)</f>
        <v>0</v>
      </c>
      <c r="F8" s="16">
        <f>COUNTIF(Prüfprotokoll!G63:G90,TRUE)</f>
        <v>0</v>
      </c>
      <c r="G8" s="16">
        <f>COUNTIF(Prüfprotokoll!H63:H90,TRUE)</f>
        <v>0</v>
      </c>
      <c r="H8" s="16">
        <f>COUNTIF(Prüfprotokoll!I63:I90,"offen")</f>
        <v>0</v>
      </c>
      <c r="I8" s="16">
        <f>COUNTIF(Prüfprotokoll!I63:I90,"mehrfach!")</f>
        <v>0</v>
      </c>
    </row>
    <row r="9" spans="2:9">
      <c r="B9" s="6" t="s">
        <v>232</v>
      </c>
      <c r="C9" s="20">
        <f>SUM(C5:C8)</f>
        <v>0</v>
      </c>
      <c r="D9" s="20">
        <f>SUM(D5:D8)</f>
        <v>0</v>
      </c>
      <c r="E9" s="20">
        <f>SUM(E5:E8)</f>
        <v>0</v>
      </c>
      <c r="F9" s="20">
        <f>SUM(F5:F8)</f>
        <v>0</v>
      </c>
      <c r="G9" s="20">
        <f>SUM(G5:G8)</f>
        <v>0</v>
      </c>
      <c r="H9" s="20">
        <f>SUM(H5:H8)</f>
        <v>0</v>
      </c>
      <c r="I9" s="20">
        <f>SUM(I5:I8)</f>
        <v>0</v>
      </c>
    </row>
    <row r="11" spans="2:9">
      <c r="B11" s="21" t="s">
        <v>233</v>
      </c>
      <c r="C11" s="16">
        <f>COUNTIFS(Prüfprotokoll!B5:B90,"TIP S2",Prüfprotokoll!G5:G90,TRUE)</f>
        <v>0</v>
      </c>
    </row>
    <row r="12" spans="2:9">
      <c r="B12" s="21" t="s">
        <v>234</v>
      </c>
      <c r="C12" s="16">
        <f>COUNTIFS(Prüfprotokoll!B5:B90,"PA",Prüfprotokoll!G5:G90,TRUE)</f>
        <v>0</v>
      </c>
    </row>
    <row r="14" spans="2:9">
      <c r="B14" s="23" t="s">
        <v>235</v>
      </c>
      <c r="C14" s="23"/>
      <c r="D14" s="23"/>
      <c r="E14" s="23"/>
      <c r="F14" s="23"/>
      <c r="G14" s="23"/>
      <c r="H14" s="23"/>
      <c r="I14" s="23"/>
    </row>
    <row r="15" spans="2:9">
      <c r="B15" s="6" t="s">
        <v>236</v>
      </c>
      <c r="C15" s="30">
        <f>IF(AND(H9=0,I9=0),"Ja – alle Fragen beantwortet","Nein – "&amp;H9&amp;" offen, "&amp;I9&amp;" mehrfach angehakt")</f>
        <v>0</v>
      </c>
      <c r="D15" s="26"/>
      <c r="E15" s="26"/>
      <c r="F15" s="26"/>
      <c r="G15" s="26"/>
      <c r="H15" s="26"/>
      <c r="I15" s="26"/>
    </row>
    <row r="17" spans="2:9">
      <c r="B17" s="23" t="s">
        <v>237</v>
      </c>
      <c r="C17" s="23"/>
      <c r="D17" s="23"/>
      <c r="E17" s="23"/>
      <c r="F17" s="23"/>
      <c r="G17" s="23"/>
      <c r="H17" s="23"/>
      <c r="I17" s="23"/>
    </row>
    <row r="18" spans="2:9">
      <c r="B18" s="6" t="s">
        <v>238</v>
      </c>
      <c r="C18" s="6" t="s">
        <v>239</v>
      </c>
      <c r="D18" s="6" t="s">
        <v>39</v>
      </c>
      <c r="E18" s="31" t="s">
        <v>240</v>
      </c>
      <c r="F18" s="31"/>
      <c r="G18" s="31" t="s">
        <v>241</v>
      </c>
      <c r="H18" s="31"/>
      <c r="I18" s="6" t="s">
        <v>242</v>
      </c>
    </row>
    <row r="19" spans="2:9">
      <c r="B19" s="10"/>
      <c r="C19" s="10"/>
      <c r="D19" s="10"/>
      <c r="E19" s="26"/>
      <c r="F19" s="26"/>
      <c r="G19" s="26"/>
      <c r="H19" s="26"/>
      <c r="I19" s="22" t="b">
        <v>0</v>
      </c>
    </row>
    <row r="20" spans="2:9">
      <c r="B20" s="10"/>
      <c r="C20" s="10"/>
      <c r="D20" s="10"/>
      <c r="E20" s="26"/>
      <c r="F20" s="26"/>
      <c r="G20" s="26"/>
      <c r="H20" s="26"/>
      <c r="I20" s="22" t="b">
        <v>0</v>
      </c>
    </row>
    <row r="21" spans="2:9">
      <c r="B21" s="10"/>
      <c r="C21" s="10"/>
      <c r="D21" s="10"/>
      <c r="E21" s="26"/>
      <c r="F21" s="26"/>
      <c r="G21" s="26"/>
      <c r="H21" s="26"/>
      <c r="I21" s="22" t="b">
        <v>0</v>
      </c>
    </row>
    <row r="22" spans="2:9">
      <c r="B22" s="10"/>
      <c r="C22" s="10"/>
      <c r="D22" s="10"/>
      <c r="E22" s="26"/>
      <c r="F22" s="26"/>
      <c r="G22" s="26"/>
      <c r="H22" s="26"/>
      <c r="I22" s="22" t="b">
        <v>0</v>
      </c>
    </row>
    <row r="23" spans="2:9">
      <c r="B23" s="10"/>
      <c r="C23" s="10"/>
      <c r="D23" s="10"/>
      <c r="E23" s="26"/>
      <c r="F23" s="26"/>
      <c r="G23" s="26"/>
      <c r="H23" s="26"/>
      <c r="I23" s="22" t="b">
        <v>0</v>
      </c>
    </row>
    <row r="24" spans="2:9">
      <c r="B24" s="10"/>
      <c r="C24" s="10"/>
      <c r="D24" s="10"/>
      <c r="E24" s="26"/>
      <c r="F24" s="26"/>
      <c r="G24" s="26"/>
      <c r="H24" s="26"/>
      <c r="I24" s="22" t="b">
        <v>0</v>
      </c>
    </row>
    <row r="25" spans="2:9">
      <c r="B25" s="10"/>
      <c r="C25" s="10"/>
      <c r="D25" s="10"/>
      <c r="E25" s="26"/>
      <c r="F25" s="26"/>
      <c r="G25" s="26"/>
      <c r="H25" s="26"/>
      <c r="I25" s="22" t="b">
        <v>0</v>
      </c>
    </row>
    <row r="26" spans="2:9">
      <c r="B26" s="10"/>
      <c r="C26" s="10"/>
      <c r="D26" s="10"/>
      <c r="E26" s="26"/>
      <c r="F26" s="26"/>
      <c r="G26" s="26"/>
      <c r="H26" s="26"/>
      <c r="I26" s="22" t="b">
        <v>0</v>
      </c>
    </row>
    <row r="27" spans="2:9">
      <c r="B27" s="10"/>
      <c r="C27" s="10"/>
      <c r="D27" s="10"/>
      <c r="E27" s="26"/>
      <c r="F27" s="26"/>
      <c r="G27" s="26"/>
      <c r="H27" s="26"/>
      <c r="I27" s="22" t="b">
        <v>0</v>
      </c>
    </row>
    <row r="28" spans="2:9">
      <c r="B28" s="10"/>
      <c r="C28" s="10"/>
      <c r="D28" s="10"/>
      <c r="E28" s="26"/>
      <c r="F28" s="26"/>
      <c r="G28" s="26"/>
      <c r="H28" s="26"/>
      <c r="I28" s="22" t="b">
        <v>0</v>
      </c>
    </row>
    <row r="30" spans="2:9">
      <c r="B30" s="23" t="s">
        <v>243</v>
      </c>
      <c r="C30" s="23"/>
      <c r="D30" s="23"/>
      <c r="E30" s="23"/>
      <c r="F30" s="23"/>
      <c r="G30" s="23"/>
      <c r="H30" s="23"/>
      <c r="I30" s="23"/>
    </row>
    <row r="31" spans="2:9">
      <c r="B31" s="6"/>
      <c r="C31" s="31" t="s">
        <v>12</v>
      </c>
      <c r="D31" s="31"/>
      <c r="E31" s="31"/>
      <c r="F31" s="31"/>
      <c r="G31" s="31" t="s">
        <v>244</v>
      </c>
      <c r="H31" s="31"/>
      <c r="I31" s="31"/>
    </row>
    <row r="32" spans="2:9" ht="26.1" customHeight="1">
      <c r="B32" s="6" t="s">
        <v>245</v>
      </c>
      <c r="C32" s="24"/>
      <c r="D32" s="24"/>
      <c r="E32" s="24"/>
      <c r="F32" s="24"/>
      <c r="G32" s="24"/>
      <c r="H32" s="24"/>
      <c r="I32" s="24"/>
    </row>
    <row r="33" spans="2:9" ht="26.1" customHeight="1">
      <c r="B33" s="6" t="s">
        <v>246</v>
      </c>
      <c r="C33" s="24"/>
      <c r="D33" s="24"/>
      <c r="E33" s="24"/>
      <c r="F33" s="24"/>
      <c r="G33" s="24"/>
      <c r="H33" s="24"/>
      <c r="I33" s="24"/>
    </row>
    <row r="34" spans="2:9" ht="26.1" customHeight="1">
      <c r="B34" s="6" t="s">
        <v>13</v>
      </c>
      <c r="C34" s="24"/>
      <c r="D34" s="24"/>
      <c r="E34" s="24"/>
      <c r="F34" s="24"/>
      <c r="G34" s="24"/>
      <c r="H34" s="24"/>
      <c r="I34" s="24"/>
    </row>
    <row r="35" spans="2:9" ht="26.1" customHeight="1">
      <c r="B35" s="6" t="s">
        <v>247</v>
      </c>
      <c r="C35" s="24"/>
      <c r="D35" s="24"/>
      <c r="E35" s="24"/>
      <c r="F35" s="24"/>
      <c r="G35" s="24"/>
      <c r="H35" s="24"/>
      <c r="I35" s="24"/>
    </row>
  </sheetData>
  <mergeCells count="36">
    <mergeCell ref="C35:F35"/>
    <mergeCell ref="G35:I35"/>
    <mergeCell ref="C32:F32"/>
    <mergeCell ref="G32:I32"/>
    <mergeCell ref="C33:F33"/>
    <mergeCell ref="G33:I33"/>
    <mergeCell ref="C34:F34"/>
    <mergeCell ref="G34:I34"/>
    <mergeCell ref="E28:F28"/>
    <mergeCell ref="G28:H28"/>
    <mergeCell ref="B30:I30"/>
    <mergeCell ref="C31:F31"/>
    <mergeCell ref="G31:I31"/>
    <mergeCell ref="E25:F25"/>
    <mergeCell ref="G25:H25"/>
    <mergeCell ref="E26:F26"/>
    <mergeCell ref="G26:H26"/>
    <mergeCell ref="E27:F27"/>
    <mergeCell ref="G27:H27"/>
    <mergeCell ref="E22:F22"/>
    <mergeCell ref="G22:H22"/>
    <mergeCell ref="E23:F23"/>
    <mergeCell ref="G23:H23"/>
    <mergeCell ref="E24:F24"/>
    <mergeCell ref="G24:H24"/>
    <mergeCell ref="E19:F19"/>
    <mergeCell ref="G19:H19"/>
    <mergeCell ref="E20:F20"/>
    <mergeCell ref="G20:H20"/>
    <mergeCell ref="E21:F21"/>
    <mergeCell ref="G21:H21"/>
    <mergeCell ref="B14:I14"/>
    <mergeCell ref="C15:I15"/>
    <mergeCell ref="B17:I17"/>
    <mergeCell ref="E18:F18"/>
    <mergeCell ref="G18:H18"/>
  </mergeCell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Prüfprotokoll Fahrstraßenoberfläche – TIP S2 – Software Fahrstraßenoberfläche</dc:title>
  <dc:subject/>
  <dc:creator>Hitachi Rail – Interne Abnahmeprüfung</dc:creator>
  <cp:keywords/>
  <dc:description/>
  <cp:lastModifiedBy>KINDT Christian</cp:lastModifiedBy>
  <cp:revision/>
  <dcterms:created xsi:type="dcterms:W3CDTF">2026-10-08T15:29:09Z</dcterms:created>
  <dcterms:modified xsi:type="dcterms:W3CDTF">2026-10-09T07:14:23Z</dcterms:modified>
  <cp:category/>
  <cp:contentStatus/>
</cp:coreProperties>
</file>